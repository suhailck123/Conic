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Monthly Dashboard" sheetId="1" r:id="rId1"/>
    <sheet name="Yearly Dashboard" sheetId="2" r:id="rId2"/>
    <sheet name="Daily Sales &amp; Expenses" sheetId="3" r:id="rId3"/>
    <sheet name="Weekly Purchases" sheetId="4" r:id="rId4"/>
    <sheet name="Monthly Summary" sheetId="5" r:id="rId5"/>
    <sheet name="Settings" sheetId="6" r:id="rId6"/>
    <sheet name="Calc" sheetId="7" r:id="rId7"/>
  </sheets>
  <calcPr calcId="124519"/>
  <fileRecoveryPr repairLoad="1"/>
</workbook>
</file>

<file path=xl/calcChain.xml><?xml version="1.0" encoding="utf-8"?>
<calcChain xmlns="http://schemas.openxmlformats.org/spreadsheetml/2006/main">
  <c r="N2" i="4"/>
  <c r="L20" i="3" s="1"/>
  <c r="N3" i="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M20" i="3"/>
  <c r="I20"/>
  <c r="D20"/>
  <c r="M19"/>
  <c r="L19"/>
  <c r="I19"/>
  <c r="D19"/>
  <c r="M18"/>
  <c r="L18"/>
  <c r="I18"/>
  <c r="D18"/>
  <c r="D2"/>
  <c r="J11" i="7"/>
  <c r="J10"/>
  <c r="J9"/>
  <c r="J8"/>
  <c r="J7"/>
  <c r="J6"/>
  <c r="J5"/>
  <c r="J4"/>
  <c r="J3"/>
  <c r="J2"/>
  <c r="A18" i="5"/>
  <c r="A17"/>
  <c r="A16"/>
  <c r="A15"/>
  <c r="A14"/>
  <c r="A13"/>
  <c r="A12"/>
  <c r="A11"/>
  <c r="A10"/>
  <c r="A9"/>
  <c r="B3"/>
  <c r="B27" s="1"/>
  <c r="P503" i="4"/>
  <c r="M503"/>
  <c r="P502"/>
  <c r="M502"/>
  <c r="P501"/>
  <c r="M501"/>
  <c r="P500"/>
  <c r="M500"/>
  <c r="P499"/>
  <c r="M499"/>
  <c r="P498"/>
  <c r="M498"/>
  <c r="P497"/>
  <c r="M497"/>
  <c r="P496"/>
  <c r="M496"/>
  <c r="P495"/>
  <c r="M495"/>
  <c r="P494"/>
  <c r="M494"/>
  <c r="P493"/>
  <c r="M493"/>
  <c r="P492"/>
  <c r="M492"/>
  <c r="P491"/>
  <c r="M491"/>
  <c r="P490"/>
  <c r="M490"/>
  <c r="P489"/>
  <c r="M489"/>
  <c r="P488"/>
  <c r="M488"/>
  <c r="P487"/>
  <c r="M487"/>
  <c r="P486"/>
  <c r="M486"/>
  <c r="P485"/>
  <c r="M485"/>
  <c r="P484"/>
  <c r="M484"/>
  <c r="P483"/>
  <c r="M483"/>
  <c r="P482"/>
  <c r="M482"/>
  <c r="P481"/>
  <c r="M481"/>
  <c r="P480"/>
  <c r="M480"/>
  <c r="P479"/>
  <c r="M479"/>
  <c r="P478"/>
  <c r="M478"/>
  <c r="P477"/>
  <c r="M477"/>
  <c r="P476"/>
  <c r="M476"/>
  <c r="P475"/>
  <c r="M475"/>
  <c r="P474"/>
  <c r="M474"/>
  <c r="P473"/>
  <c r="M473"/>
  <c r="P472"/>
  <c r="M472"/>
  <c r="P471"/>
  <c r="M471"/>
  <c r="P470"/>
  <c r="M470"/>
  <c r="P469"/>
  <c r="M469"/>
  <c r="P468"/>
  <c r="M468"/>
  <c r="P467"/>
  <c r="M467"/>
  <c r="P466"/>
  <c r="M466"/>
  <c r="P465"/>
  <c r="M465"/>
  <c r="P464"/>
  <c r="M464"/>
  <c r="P463"/>
  <c r="M463"/>
  <c r="P462"/>
  <c r="M462"/>
  <c r="P461"/>
  <c r="M461"/>
  <c r="P460"/>
  <c r="M460"/>
  <c r="P459"/>
  <c r="M459"/>
  <c r="P458"/>
  <c r="M458"/>
  <c r="P457"/>
  <c r="M457"/>
  <c r="P456"/>
  <c r="M456"/>
  <c r="P455"/>
  <c r="M455"/>
  <c r="P454"/>
  <c r="M454"/>
  <c r="P453"/>
  <c r="M453"/>
  <c r="P452"/>
  <c r="M452"/>
  <c r="P451"/>
  <c r="M451"/>
  <c r="P450"/>
  <c r="M450"/>
  <c r="P449"/>
  <c r="M449"/>
  <c r="P448"/>
  <c r="M448"/>
  <c r="P447"/>
  <c r="M447"/>
  <c r="P446"/>
  <c r="M446"/>
  <c r="P445"/>
  <c r="M445"/>
  <c r="P444"/>
  <c r="M444"/>
  <c r="P443"/>
  <c r="M443"/>
  <c r="P442"/>
  <c r="M442"/>
  <c r="P441"/>
  <c r="M441"/>
  <c r="P440"/>
  <c r="M440"/>
  <c r="P439"/>
  <c r="M439"/>
  <c r="P438"/>
  <c r="M438"/>
  <c r="P437"/>
  <c r="M437"/>
  <c r="P436"/>
  <c r="M436"/>
  <c r="P435"/>
  <c r="M435"/>
  <c r="P434"/>
  <c r="M434"/>
  <c r="P433"/>
  <c r="M433"/>
  <c r="P432"/>
  <c r="M432"/>
  <c r="P431"/>
  <c r="M431"/>
  <c r="P430"/>
  <c r="M430"/>
  <c r="P429"/>
  <c r="M429"/>
  <c r="P428"/>
  <c r="M428"/>
  <c r="P427"/>
  <c r="M427"/>
  <c r="P426"/>
  <c r="M426"/>
  <c r="P425"/>
  <c r="M425"/>
  <c r="P424"/>
  <c r="M424"/>
  <c r="P423"/>
  <c r="M423"/>
  <c r="P422"/>
  <c r="M422"/>
  <c r="P421"/>
  <c r="M421"/>
  <c r="P420"/>
  <c r="M420"/>
  <c r="P419"/>
  <c r="M419"/>
  <c r="P418"/>
  <c r="M418"/>
  <c r="P417"/>
  <c r="M417"/>
  <c r="P416"/>
  <c r="M416"/>
  <c r="P415"/>
  <c r="M415"/>
  <c r="P414"/>
  <c r="M414"/>
  <c r="P413"/>
  <c r="M413"/>
  <c r="P412"/>
  <c r="M412"/>
  <c r="P411"/>
  <c r="M411"/>
  <c r="P410"/>
  <c r="M410"/>
  <c r="P409"/>
  <c r="M409"/>
  <c r="P408"/>
  <c r="M408"/>
  <c r="P407"/>
  <c r="M407"/>
  <c r="P406"/>
  <c r="M406"/>
  <c r="P405"/>
  <c r="M405"/>
  <c r="P404"/>
  <c r="M404"/>
  <c r="P403"/>
  <c r="M403"/>
  <c r="P402"/>
  <c r="M402"/>
  <c r="P401"/>
  <c r="M401"/>
  <c r="P400"/>
  <c r="M400"/>
  <c r="P399"/>
  <c r="M399"/>
  <c r="P398"/>
  <c r="M398"/>
  <c r="P397"/>
  <c r="M397"/>
  <c r="P396"/>
  <c r="M396"/>
  <c r="P395"/>
  <c r="M395"/>
  <c r="P394"/>
  <c r="M394"/>
  <c r="P393"/>
  <c r="M393"/>
  <c r="P392"/>
  <c r="M392"/>
  <c r="P391"/>
  <c r="M391"/>
  <c r="P390"/>
  <c r="M390"/>
  <c r="P389"/>
  <c r="M389"/>
  <c r="P388"/>
  <c r="M388"/>
  <c r="P387"/>
  <c r="M387"/>
  <c r="P386"/>
  <c r="M386"/>
  <c r="P385"/>
  <c r="M385"/>
  <c r="P384"/>
  <c r="M384"/>
  <c r="P383"/>
  <c r="M383"/>
  <c r="P382"/>
  <c r="M382"/>
  <c r="P381"/>
  <c r="M381"/>
  <c r="P380"/>
  <c r="M380"/>
  <c r="P379"/>
  <c r="M379"/>
  <c r="P378"/>
  <c r="M378"/>
  <c r="P377"/>
  <c r="M377"/>
  <c r="P376"/>
  <c r="M376"/>
  <c r="P375"/>
  <c r="M375"/>
  <c r="P374"/>
  <c r="M374"/>
  <c r="P373"/>
  <c r="M373"/>
  <c r="P372"/>
  <c r="M372"/>
  <c r="P371"/>
  <c r="M371"/>
  <c r="P370"/>
  <c r="M370"/>
  <c r="P369"/>
  <c r="M369"/>
  <c r="P368"/>
  <c r="M368"/>
  <c r="P367"/>
  <c r="M367"/>
  <c r="P366"/>
  <c r="M366"/>
  <c r="P365"/>
  <c r="M365"/>
  <c r="P364"/>
  <c r="M364"/>
  <c r="P363"/>
  <c r="M363"/>
  <c r="P362"/>
  <c r="M362"/>
  <c r="P361"/>
  <c r="M361"/>
  <c r="P360"/>
  <c r="M360"/>
  <c r="P359"/>
  <c r="M359"/>
  <c r="P358"/>
  <c r="M358"/>
  <c r="P357"/>
  <c r="M357"/>
  <c r="P356"/>
  <c r="M356"/>
  <c r="P355"/>
  <c r="M355"/>
  <c r="P354"/>
  <c r="M354"/>
  <c r="P353"/>
  <c r="M353"/>
  <c r="P352"/>
  <c r="M352"/>
  <c r="P351"/>
  <c r="M351"/>
  <c r="P350"/>
  <c r="M350"/>
  <c r="P349"/>
  <c r="M349"/>
  <c r="P348"/>
  <c r="M348"/>
  <c r="P347"/>
  <c r="M347"/>
  <c r="P346"/>
  <c r="M346"/>
  <c r="P345"/>
  <c r="M345"/>
  <c r="P344"/>
  <c r="M344"/>
  <c r="P343"/>
  <c r="M343"/>
  <c r="P342"/>
  <c r="M342"/>
  <c r="P341"/>
  <c r="M341"/>
  <c r="P340"/>
  <c r="M340"/>
  <c r="P339"/>
  <c r="M339"/>
  <c r="P338"/>
  <c r="M338"/>
  <c r="P337"/>
  <c r="M337"/>
  <c r="P336"/>
  <c r="M336"/>
  <c r="P335"/>
  <c r="M335"/>
  <c r="P334"/>
  <c r="M334"/>
  <c r="P333"/>
  <c r="M333"/>
  <c r="P332"/>
  <c r="M332"/>
  <c r="P331"/>
  <c r="M331"/>
  <c r="P330"/>
  <c r="M330"/>
  <c r="P329"/>
  <c r="M329"/>
  <c r="P328"/>
  <c r="M328"/>
  <c r="P327"/>
  <c r="M327"/>
  <c r="P326"/>
  <c r="M326"/>
  <c r="P325"/>
  <c r="M325"/>
  <c r="P324"/>
  <c r="M324"/>
  <c r="P323"/>
  <c r="M323"/>
  <c r="P322"/>
  <c r="M322"/>
  <c r="P321"/>
  <c r="M321"/>
  <c r="P320"/>
  <c r="M320"/>
  <c r="P319"/>
  <c r="M319"/>
  <c r="P318"/>
  <c r="M318"/>
  <c r="P317"/>
  <c r="M317"/>
  <c r="P316"/>
  <c r="M316"/>
  <c r="P315"/>
  <c r="M315"/>
  <c r="P314"/>
  <c r="M314"/>
  <c r="P313"/>
  <c r="M313"/>
  <c r="P312"/>
  <c r="M312"/>
  <c r="P311"/>
  <c r="M311"/>
  <c r="P310"/>
  <c r="M310"/>
  <c r="P309"/>
  <c r="M309"/>
  <c r="P308"/>
  <c r="M308"/>
  <c r="P307"/>
  <c r="M307"/>
  <c r="P306"/>
  <c r="M306"/>
  <c r="P305"/>
  <c r="M305"/>
  <c r="P304"/>
  <c r="M304"/>
  <c r="P303"/>
  <c r="M303"/>
  <c r="P302"/>
  <c r="M302"/>
  <c r="P301"/>
  <c r="M301"/>
  <c r="P300"/>
  <c r="M300"/>
  <c r="P299"/>
  <c r="M299"/>
  <c r="P298"/>
  <c r="M298"/>
  <c r="P297"/>
  <c r="M297"/>
  <c r="P296"/>
  <c r="M296"/>
  <c r="P295"/>
  <c r="M295"/>
  <c r="P294"/>
  <c r="M294"/>
  <c r="P293"/>
  <c r="M293"/>
  <c r="P292"/>
  <c r="M292"/>
  <c r="P291"/>
  <c r="M291"/>
  <c r="P290"/>
  <c r="M290"/>
  <c r="P289"/>
  <c r="M289"/>
  <c r="P288"/>
  <c r="M288"/>
  <c r="P287"/>
  <c r="M287"/>
  <c r="P286"/>
  <c r="M286"/>
  <c r="P285"/>
  <c r="M285"/>
  <c r="P284"/>
  <c r="M284"/>
  <c r="P283"/>
  <c r="M283"/>
  <c r="P282"/>
  <c r="M282"/>
  <c r="P281"/>
  <c r="M281"/>
  <c r="P280"/>
  <c r="M280"/>
  <c r="P279"/>
  <c r="M279"/>
  <c r="P278"/>
  <c r="M278"/>
  <c r="P277"/>
  <c r="M277"/>
  <c r="P276"/>
  <c r="M276"/>
  <c r="P275"/>
  <c r="M275"/>
  <c r="P274"/>
  <c r="M274"/>
  <c r="P273"/>
  <c r="M273"/>
  <c r="P272"/>
  <c r="M272"/>
  <c r="P271"/>
  <c r="M271"/>
  <c r="P270"/>
  <c r="M270"/>
  <c r="P269"/>
  <c r="M269"/>
  <c r="P268"/>
  <c r="M268"/>
  <c r="P267"/>
  <c r="M267"/>
  <c r="P266"/>
  <c r="M266"/>
  <c r="P265"/>
  <c r="M265"/>
  <c r="P264"/>
  <c r="M264"/>
  <c r="P263"/>
  <c r="M263"/>
  <c r="P262"/>
  <c r="M262"/>
  <c r="P261"/>
  <c r="M261"/>
  <c r="P260"/>
  <c r="M260"/>
  <c r="P259"/>
  <c r="M259"/>
  <c r="P258"/>
  <c r="M258"/>
  <c r="P257"/>
  <c r="M257"/>
  <c r="P256"/>
  <c r="M256"/>
  <c r="P255"/>
  <c r="M255"/>
  <c r="P254"/>
  <c r="M254"/>
  <c r="P253"/>
  <c r="M253"/>
  <c r="P252"/>
  <c r="M252"/>
  <c r="P251"/>
  <c r="M251"/>
  <c r="P250"/>
  <c r="M250"/>
  <c r="P249"/>
  <c r="M249"/>
  <c r="P248"/>
  <c r="M248"/>
  <c r="P247"/>
  <c r="M247"/>
  <c r="P246"/>
  <c r="M246"/>
  <c r="P245"/>
  <c r="M245"/>
  <c r="P244"/>
  <c r="M244"/>
  <c r="P243"/>
  <c r="M243"/>
  <c r="P242"/>
  <c r="M242"/>
  <c r="P241"/>
  <c r="M241"/>
  <c r="P240"/>
  <c r="M240"/>
  <c r="P239"/>
  <c r="M239"/>
  <c r="P238"/>
  <c r="M238"/>
  <c r="P237"/>
  <c r="M237"/>
  <c r="P236"/>
  <c r="M236"/>
  <c r="P235"/>
  <c r="M235"/>
  <c r="P234"/>
  <c r="M234"/>
  <c r="P233"/>
  <c r="M233"/>
  <c r="P232"/>
  <c r="M232"/>
  <c r="P231"/>
  <c r="M231"/>
  <c r="P230"/>
  <c r="M230"/>
  <c r="P229"/>
  <c r="M229"/>
  <c r="P228"/>
  <c r="M228"/>
  <c r="P227"/>
  <c r="M227"/>
  <c r="P226"/>
  <c r="M226"/>
  <c r="P225"/>
  <c r="M225"/>
  <c r="P224"/>
  <c r="M224"/>
  <c r="P223"/>
  <c r="M223"/>
  <c r="P222"/>
  <c r="M222"/>
  <c r="P221"/>
  <c r="M221"/>
  <c r="P220"/>
  <c r="M220"/>
  <c r="P219"/>
  <c r="M219"/>
  <c r="P218"/>
  <c r="M218"/>
  <c r="P217"/>
  <c r="M217"/>
  <c r="P216"/>
  <c r="M216"/>
  <c r="P215"/>
  <c r="M215"/>
  <c r="P214"/>
  <c r="M214"/>
  <c r="P213"/>
  <c r="M213"/>
  <c r="P212"/>
  <c r="M212"/>
  <c r="P211"/>
  <c r="M211"/>
  <c r="P210"/>
  <c r="M210"/>
  <c r="P209"/>
  <c r="M209"/>
  <c r="P208"/>
  <c r="M208"/>
  <c r="P207"/>
  <c r="M207"/>
  <c r="P206"/>
  <c r="M206"/>
  <c r="P205"/>
  <c r="M205"/>
  <c r="P204"/>
  <c r="M204"/>
  <c r="P203"/>
  <c r="M203"/>
  <c r="P202"/>
  <c r="M202"/>
  <c r="P201"/>
  <c r="M201"/>
  <c r="P200"/>
  <c r="M200"/>
  <c r="P199"/>
  <c r="M199"/>
  <c r="P198"/>
  <c r="M198"/>
  <c r="P197"/>
  <c r="M197"/>
  <c r="P196"/>
  <c r="M196"/>
  <c r="P195"/>
  <c r="M195"/>
  <c r="P194"/>
  <c r="M194"/>
  <c r="P193"/>
  <c r="M193"/>
  <c r="P192"/>
  <c r="M192"/>
  <c r="P191"/>
  <c r="M191"/>
  <c r="P190"/>
  <c r="M190"/>
  <c r="P189"/>
  <c r="M189"/>
  <c r="P188"/>
  <c r="M188"/>
  <c r="P187"/>
  <c r="M187"/>
  <c r="P186"/>
  <c r="M186"/>
  <c r="P185"/>
  <c r="M185"/>
  <c r="P184"/>
  <c r="M184"/>
  <c r="P183"/>
  <c r="M183"/>
  <c r="P182"/>
  <c r="M182"/>
  <c r="P181"/>
  <c r="M181"/>
  <c r="P180"/>
  <c r="M180"/>
  <c r="P179"/>
  <c r="M179"/>
  <c r="P178"/>
  <c r="M178"/>
  <c r="P177"/>
  <c r="M177"/>
  <c r="P176"/>
  <c r="M176"/>
  <c r="P175"/>
  <c r="M175"/>
  <c r="P174"/>
  <c r="M174"/>
  <c r="P173"/>
  <c r="M173"/>
  <c r="P172"/>
  <c r="M172"/>
  <c r="P171"/>
  <c r="M171"/>
  <c r="P170"/>
  <c r="M170"/>
  <c r="P169"/>
  <c r="M169"/>
  <c r="P168"/>
  <c r="M168"/>
  <c r="P167"/>
  <c r="M167"/>
  <c r="P166"/>
  <c r="M166"/>
  <c r="P165"/>
  <c r="M165"/>
  <c r="P164"/>
  <c r="M164"/>
  <c r="P163"/>
  <c r="M163"/>
  <c r="P162"/>
  <c r="M162"/>
  <c r="P161"/>
  <c r="M161"/>
  <c r="P160"/>
  <c r="M160"/>
  <c r="P159"/>
  <c r="M159"/>
  <c r="P158"/>
  <c r="M158"/>
  <c r="P157"/>
  <c r="M157"/>
  <c r="P156"/>
  <c r="M156"/>
  <c r="P155"/>
  <c r="M155"/>
  <c r="P154"/>
  <c r="M154"/>
  <c r="P153"/>
  <c r="M153"/>
  <c r="P152"/>
  <c r="M152"/>
  <c r="P151"/>
  <c r="M151"/>
  <c r="P150"/>
  <c r="M150"/>
  <c r="P149"/>
  <c r="M149"/>
  <c r="P148"/>
  <c r="M148"/>
  <c r="P147"/>
  <c r="M147"/>
  <c r="P146"/>
  <c r="M146"/>
  <c r="P145"/>
  <c r="M145"/>
  <c r="P144"/>
  <c r="M144"/>
  <c r="P143"/>
  <c r="M143"/>
  <c r="P142"/>
  <c r="M142"/>
  <c r="P141"/>
  <c r="M141"/>
  <c r="P140"/>
  <c r="M140"/>
  <c r="P139"/>
  <c r="M139"/>
  <c r="P138"/>
  <c r="M138"/>
  <c r="P137"/>
  <c r="M137"/>
  <c r="P136"/>
  <c r="M136"/>
  <c r="P135"/>
  <c r="M135"/>
  <c r="P134"/>
  <c r="M134"/>
  <c r="P133"/>
  <c r="M133"/>
  <c r="P132"/>
  <c r="M132"/>
  <c r="P131"/>
  <c r="M131"/>
  <c r="P130"/>
  <c r="M130"/>
  <c r="P129"/>
  <c r="M129"/>
  <c r="P128"/>
  <c r="M128"/>
  <c r="P127"/>
  <c r="M127"/>
  <c r="P126"/>
  <c r="M126"/>
  <c r="P125"/>
  <c r="M125"/>
  <c r="P124"/>
  <c r="M124"/>
  <c r="P123"/>
  <c r="M123"/>
  <c r="P122"/>
  <c r="M122"/>
  <c r="P121"/>
  <c r="M121"/>
  <c r="P120"/>
  <c r="M120"/>
  <c r="P119"/>
  <c r="M119"/>
  <c r="P118"/>
  <c r="M118"/>
  <c r="P117"/>
  <c r="M117"/>
  <c r="P116"/>
  <c r="M116"/>
  <c r="P115"/>
  <c r="M115"/>
  <c r="P114"/>
  <c r="M114"/>
  <c r="P113"/>
  <c r="M113"/>
  <c r="P112"/>
  <c r="M112"/>
  <c r="P111"/>
  <c r="M111"/>
  <c r="P110"/>
  <c r="M110"/>
  <c r="P109"/>
  <c r="M109"/>
  <c r="P108"/>
  <c r="M108"/>
  <c r="P107"/>
  <c r="M107"/>
  <c r="P106"/>
  <c r="M106"/>
  <c r="P105"/>
  <c r="M105"/>
  <c r="P104"/>
  <c r="M104"/>
  <c r="P103"/>
  <c r="M103"/>
  <c r="P102"/>
  <c r="M102"/>
  <c r="P101"/>
  <c r="M101"/>
  <c r="P100"/>
  <c r="M100"/>
  <c r="P99"/>
  <c r="M99"/>
  <c r="P98"/>
  <c r="M98"/>
  <c r="P97"/>
  <c r="M97"/>
  <c r="P96"/>
  <c r="M96"/>
  <c r="P95"/>
  <c r="M95"/>
  <c r="P94"/>
  <c r="M94"/>
  <c r="P93"/>
  <c r="M93"/>
  <c r="P92"/>
  <c r="M92"/>
  <c r="P91"/>
  <c r="M91"/>
  <c r="P90"/>
  <c r="M90"/>
  <c r="P89"/>
  <c r="M89"/>
  <c r="P88"/>
  <c r="M88"/>
  <c r="P87"/>
  <c r="M87"/>
  <c r="P86"/>
  <c r="M86"/>
  <c r="P85"/>
  <c r="M85"/>
  <c r="P84"/>
  <c r="M84"/>
  <c r="P83"/>
  <c r="M83"/>
  <c r="P82"/>
  <c r="M82"/>
  <c r="P81"/>
  <c r="M81"/>
  <c r="P80"/>
  <c r="M80"/>
  <c r="P79"/>
  <c r="M79"/>
  <c r="P78"/>
  <c r="M78"/>
  <c r="P77"/>
  <c r="M77"/>
  <c r="P76"/>
  <c r="M76"/>
  <c r="P75"/>
  <c r="M75"/>
  <c r="P74"/>
  <c r="M74"/>
  <c r="P73"/>
  <c r="M73"/>
  <c r="P72"/>
  <c r="M72"/>
  <c r="P71"/>
  <c r="M71"/>
  <c r="P70"/>
  <c r="M70"/>
  <c r="P69"/>
  <c r="M69"/>
  <c r="P68"/>
  <c r="M68"/>
  <c r="P67"/>
  <c r="M67"/>
  <c r="P66"/>
  <c r="M66"/>
  <c r="P65"/>
  <c r="M65"/>
  <c r="P64"/>
  <c r="M64"/>
  <c r="P63"/>
  <c r="M63"/>
  <c r="P62"/>
  <c r="M62"/>
  <c r="P61"/>
  <c r="M61"/>
  <c r="P60"/>
  <c r="M60"/>
  <c r="P59"/>
  <c r="M59"/>
  <c r="P58"/>
  <c r="M58"/>
  <c r="P57"/>
  <c r="M57"/>
  <c r="P56"/>
  <c r="M56"/>
  <c r="P55"/>
  <c r="M55"/>
  <c r="P54"/>
  <c r="M54"/>
  <c r="P53"/>
  <c r="M53"/>
  <c r="P52"/>
  <c r="M52"/>
  <c r="P51"/>
  <c r="M51"/>
  <c r="P50"/>
  <c r="M50"/>
  <c r="P49"/>
  <c r="M49"/>
  <c r="P48"/>
  <c r="M48"/>
  <c r="P47"/>
  <c r="M47"/>
  <c r="P46"/>
  <c r="M46"/>
  <c r="P45"/>
  <c r="M45"/>
  <c r="P44"/>
  <c r="M44"/>
  <c r="P43"/>
  <c r="M43"/>
  <c r="P42"/>
  <c r="M42"/>
  <c r="P41"/>
  <c r="M41"/>
  <c r="P40"/>
  <c r="M40"/>
  <c r="P39"/>
  <c r="M39"/>
  <c r="P38"/>
  <c r="M38"/>
  <c r="P37"/>
  <c r="M37"/>
  <c r="P36"/>
  <c r="M36"/>
  <c r="P35"/>
  <c r="M35"/>
  <c r="P34"/>
  <c r="M34"/>
  <c r="P33"/>
  <c r="M33"/>
  <c r="P32"/>
  <c r="M32"/>
  <c r="P31"/>
  <c r="M31"/>
  <c r="P30"/>
  <c r="M30"/>
  <c r="P29"/>
  <c r="M29"/>
  <c r="P28"/>
  <c r="M28"/>
  <c r="P27"/>
  <c r="M27"/>
  <c r="P26"/>
  <c r="M26"/>
  <c r="P25"/>
  <c r="M25"/>
  <c r="P24"/>
  <c r="M24"/>
  <c r="P23"/>
  <c r="M23"/>
  <c r="P22"/>
  <c r="M22"/>
  <c r="P21"/>
  <c r="M21"/>
  <c r="P20"/>
  <c r="M20"/>
  <c r="P19"/>
  <c r="M19"/>
  <c r="P18"/>
  <c r="M18"/>
  <c r="P17"/>
  <c r="M17"/>
  <c r="P16"/>
  <c r="M16"/>
  <c r="P15"/>
  <c r="M15"/>
  <c r="P14"/>
  <c r="M14"/>
  <c r="P13"/>
  <c r="M13"/>
  <c r="P12"/>
  <c r="M12"/>
  <c r="P11"/>
  <c r="M11"/>
  <c r="P10"/>
  <c r="M10"/>
  <c r="P9"/>
  <c r="M9"/>
  <c r="P8"/>
  <c r="M8"/>
  <c r="P7"/>
  <c r="M7"/>
  <c r="P6"/>
  <c r="M6"/>
  <c r="P5"/>
  <c r="M5"/>
  <c r="P4"/>
  <c r="M4"/>
  <c r="P3"/>
  <c r="M3"/>
  <c r="M2"/>
  <c r="L1"/>
  <c r="K1"/>
  <c r="J1"/>
  <c r="I1"/>
  <c r="H1"/>
  <c r="G1"/>
  <c r="F1"/>
  <c r="E1"/>
  <c r="D1"/>
  <c r="C1"/>
  <c r="O495" i="3"/>
  <c r="N495"/>
  <c r="M495"/>
  <c r="L495"/>
  <c r="I495"/>
  <c r="D495"/>
  <c r="O494"/>
  <c r="N494"/>
  <c r="M494"/>
  <c r="L494"/>
  <c r="I494"/>
  <c r="D494"/>
  <c r="O493"/>
  <c r="N493"/>
  <c r="M493"/>
  <c r="L493"/>
  <c r="I493"/>
  <c r="D493"/>
  <c r="O492"/>
  <c r="N492"/>
  <c r="M492"/>
  <c r="L492"/>
  <c r="I492"/>
  <c r="D492"/>
  <c r="O491"/>
  <c r="N491"/>
  <c r="M491"/>
  <c r="L491"/>
  <c r="I491"/>
  <c r="D491"/>
  <c r="O490"/>
  <c r="N490"/>
  <c r="M490"/>
  <c r="L490"/>
  <c r="I490"/>
  <c r="D490"/>
  <c r="O489"/>
  <c r="N489"/>
  <c r="M489"/>
  <c r="L489"/>
  <c r="I489"/>
  <c r="D489"/>
  <c r="O488"/>
  <c r="N488"/>
  <c r="M488"/>
  <c r="L488"/>
  <c r="I488"/>
  <c r="D488"/>
  <c r="O487"/>
  <c r="N487"/>
  <c r="M487"/>
  <c r="L487"/>
  <c r="I487"/>
  <c r="D487"/>
  <c r="O486"/>
  <c r="N486"/>
  <c r="M486"/>
  <c r="L486"/>
  <c r="I486"/>
  <c r="D486"/>
  <c r="O485"/>
  <c r="N485"/>
  <c r="M485"/>
  <c r="L485"/>
  <c r="I485"/>
  <c r="D485"/>
  <c r="O484"/>
  <c r="N484"/>
  <c r="M484"/>
  <c r="L484"/>
  <c r="I484"/>
  <c r="D484"/>
  <c r="O483"/>
  <c r="N483"/>
  <c r="M483"/>
  <c r="L483"/>
  <c r="I483"/>
  <c r="D483"/>
  <c r="O482"/>
  <c r="N482"/>
  <c r="M482"/>
  <c r="L482"/>
  <c r="I482"/>
  <c r="D482"/>
  <c r="O481"/>
  <c r="N481"/>
  <c r="M481"/>
  <c r="L481"/>
  <c r="I481"/>
  <c r="D481"/>
  <c r="O480"/>
  <c r="N480"/>
  <c r="M480"/>
  <c r="L480"/>
  <c r="I480"/>
  <c r="D480"/>
  <c r="O479"/>
  <c r="N479"/>
  <c r="M479"/>
  <c r="L479"/>
  <c r="I479"/>
  <c r="D479"/>
  <c r="O478"/>
  <c r="N478"/>
  <c r="M478"/>
  <c r="L478"/>
  <c r="I478"/>
  <c r="D478"/>
  <c r="O477"/>
  <c r="N477"/>
  <c r="M477"/>
  <c r="L477"/>
  <c r="I477"/>
  <c r="D477"/>
  <c r="O476"/>
  <c r="N476"/>
  <c r="M476"/>
  <c r="L476"/>
  <c r="I476"/>
  <c r="D476"/>
  <c r="O475"/>
  <c r="N475"/>
  <c r="M475"/>
  <c r="L475"/>
  <c r="I475"/>
  <c r="D475"/>
  <c r="O474"/>
  <c r="N474"/>
  <c r="M474"/>
  <c r="L474"/>
  <c r="I474"/>
  <c r="D474"/>
  <c r="O473"/>
  <c r="N473"/>
  <c r="M473"/>
  <c r="L473"/>
  <c r="I473"/>
  <c r="D473"/>
  <c r="O472"/>
  <c r="N472"/>
  <c r="M472"/>
  <c r="L472"/>
  <c r="I472"/>
  <c r="D472"/>
  <c r="O471"/>
  <c r="N471"/>
  <c r="M471"/>
  <c r="L471"/>
  <c r="I471"/>
  <c r="D471"/>
  <c r="O470"/>
  <c r="N470"/>
  <c r="M470"/>
  <c r="L470"/>
  <c r="I470"/>
  <c r="D470"/>
  <c r="O469"/>
  <c r="N469"/>
  <c r="M469"/>
  <c r="L469"/>
  <c r="I469"/>
  <c r="D469"/>
  <c r="O468"/>
  <c r="N468"/>
  <c r="M468"/>
  <c r="L468"/>
  <c r="I468"/>
  <c r="D468"/>
  <c r="O467"/>
  <c r="N467"/>
  <c r="M467"/>
  <c r="L467"/>
  <c r="I467"/>
  <c r="D467"/>
  <c r="O466"/>
  <c r="N466"/>
  <c r="M466"/>
  <c r="L466"/>
  <c r="I466"/>
  <c r="D466"/>
  <c r="O465"/>
  <c r="N465"/>
  <c r="M465"/>
  <c r="L465"/>
  <c r="I465"/>
  <c r="D465"/>
  <c r="O464"/>
  <c r="N464"/>
  <c r="M464"/>
  <c r="L464"/>
  <c r="I464"/>
  <c r="D464"/>
  <c r="O463"/>
  <c r="N463"/>
  <c r="M463"/>
  <c r="L463"/>
  <c r="I463"/>
  <c r="D463"/>
  <c r="O462"/>
  <c r="N462"/>
  <c r="M462"/>
  <c r="L462"/>
  <c r="I462"/>
  <c r="D462"/>
  <c r="O461"/>
  <c r="N461"/>
  <c r="M461"/>
  <c r="L461"/>
  <c r="I461"/>
  <c r="D461"/>
  <c r="O460"/>
  <c r="N460"/>
  <c r="M460"/>
  <c r="L460"/>
  <c r="I460"/>
  <c r="D460"/>
  <c r="O459"/>
  <c r="N459"/>
  <c r="M459"/>
  <c r="L459"/>
  <c r="I459"/>
  <c r="D459"/>
  <c r="O458"/>
  <c r="N458"/>
  <c r="M458"/>
  <c r="L458"/>
  <c r="I458"/>
  <c r="D458"/>
  <c r="O457"/>
  <c r="N457"/>
  <c r="M457"/>
  <c r="L457"/>
  <c r="I457"/>
  <c r="D457"/>
  <c r="O456"/>
  <c r="N456"/>
  <c r="M456"/>
  <c r="L456"/>
  <c r="I456"/>
  <c r="D456"/>
  <c r="O455"/>
  <c r="N455"/>
  <c r="M455"/>
  <c r="L455"/>
  <c r="I455"/>
  <c r="D455"/>
  <c r="O454"/>
  <c r="N454"/>
  <c r="M454"/>
  <c r="L454"/>
  <c r="I454"/>
  <c r="D454"/>
  <c r="O453"/>
  <c r="N453"/>
  <c r="M453"/>
  <c r="L453"/>
  <c r="I453"/>
  <c r="D453"/>
  <c r="O452"/>
  <c r="N452"/>
  <c r="M452"/>
  <c r="L452"/>
  <c r="I452"/>
  <c r="D452"/>
  <c r="O451"/>
  <c r="N451"/>
  <c r="M451"/>
  <c r="L451"/>
  <c r="I451"/>
  <c r="D451"/>
  <c r="O450"/>
  <c r="N450"/>
  <c r="M450"/>
  <c r="L450"/>
  <c r="I450"/>
  <c r="D450"/>
  <c r="O449"/>
  <c r="N449"/>
  <c r="M449"/>
  <c r="L449"/>
  <c r="I449"/>
  <c r="D449"/>
  <c r="O448"/>
  <c r="N448"/>
  <c r="M448"/>
  <c r="L448"/>
  <c r="I448"/>
  <c r="D448"/>
  <c r="O447"/>
  <c r="N447"/>
  <c r="M447"/>
  <c r="L447"/>
  <c r="I447"/>
  <c r="D447"/>
  <c r="O446"/>
  <c r="N446"/>
  <c r="M446"/>
  <c r="L446"/>
  <c r="I446"/>
  <c r="D446"/>
  <c r="O445"/>
  <c r="N445"/>
  <c r="M445"/>
  <c r="L445"/>
  <c r="I445"/>
  <c r="D445"/>
  <c r="O444"/>
  <c r="N444"/>
  <c r="M444"/>
  <c r="L444"/>
  <c r="I444"/>
  <c r="D444"/>
  <c r="O443"/>
  <c r="N443"/>
  <c r="M443"/>
  <c r="L443"/>
  <c r="I443"/>
  <c r="D443"/>
  <c r="O442"/>
  <c r="N442"/>
  <c r="M442"/>
  <c r="L442"/>
  <c r="I442"/>
  <c r="D442"/>
  <c r="O441"/>
  <c r="N441"/>
  <c r="M441"/>
  <c r="L441"/>
  <c r="I441"/>
  <c r="D441"/>
  <c r="O440"/>
  <c r="N440"/>
  <c r="M440"/>
  <c r="L440"/>
  <c r="I440"/>
  <c r="D440"/>
  <c r="O439"/>
  <c r="N439"/>
  <c r="M439"/>
  <c r="L439"/>
  <c r="I439"/>
  <c r="D439"/>
  <c r="O438"/>
  <c r="N438"/>
  <c r="M438"/>
  <c r="L438"/>
  <c r="I438"/>
  <c r="D438"/>
  <c r="O437"/>
  <c r="N437"/>
  <c r="M437"/>
  <c r="L437"/>
  <c r="I437"/>
  <c r="D437"/>
  <c r="O436"/>
  <c r="N436"/>
  <c r="M436"/>
  <c r="L436"/>
  <c r="I436"/>
  <c r="D436"/>
  <c r="O435"/>
  <c r="N435"/>
  <c r="M435"/>
  <c r="L435"/>
  <c r="I435"/>
  <c r="D435"/>
  <c r="O434"/>
  <c r="N434"/>
  <c r="M434"/>
  <c r="L434"/>
  <c r="I434"/>
  <c r="D434"/>
  <c r="O433"/>
  <c r="N433"/>
  <c r="M433"/>
  <c r="L433"/>
  <c r="I433"/>
  <c r="D433"/>
  <c r="O432"/>
  <c r="N432"/>
  <c r="M432"/>
  <c r="L432"/>
  <c r="I432"/>
  <c r="D432"/>
  <c r="O431"/>
  <c r="N431"/>
  <c r="M431"/>
  <c r="L431"/>
  <c r="I431"/>
  <c r="D431"/>
  <c r="O430"/>
  <c r="N430"/>
  <c r="M430"/>
  <c r="L430"/>
  <c r="I430"/>
  <c r="D430"/>
  <c r="O429"/>
  <c r="N429"/>
  <c r="M429"/>
  <c r="L429"/>
  <c r="I429"/>
  <c r="D429"/>
  <c r="O428"/>
  <c r="N428"/>
  <c r="M428"/>
  <c r="L428"/>
  <c r="I428"/>
  <c r="D428"/>
  <c r="O427"/>
  <c r="N427"/>
  <c r="M427"/>
  <c r="L427"/>
  <c r="I427"/>
  <c r="D427"/>
  <c r="O426"/>
  <c r="N426"/>
  <c r="M426"/>
  <c r="L426"/>
  <c r="I426"/>
  <c r="D426"/>
  <c r="O425"/>
  <c r="N425"/>
  <c r="M425"/>
  <c r="L425"/>
  <c r="I425"/>
  <c r="D425"/>
  <c r="O424"/>
  <c r="N424"/>
  <c r="M424"/>
  <c r="L424"/>
  <c r="I424"/>
  <c r="D424"/>
  <c r="O423"/>
  <c r="N423"/>
  <c r="M423"/>
  <c r="L423"/>
  <c r="I423"/>
  <c r="D423"/>
  <c r="O422"/>
  <c r="N422"/>
  <c r="M422"/>
  <c r="L422"/>
  <c r="I422"/>
  <c r="D422"/>
  <c r="O421"/>
  <c r="N421"/>
  <c r="M421"/>
  <c r="L421"/>
  <c r="I421"/>
  <c r="D421"/>
  <c r="O420"/>
  <c r="N420"/>
  <c r="M420"/>
  <c r="L420"/>
  <c r="I420"/>
  <c r="D420"/>
  <c r="O419"/>
  <c r="N419"/>
  <c r="M419"/>
  <c r="L419"/>
  <c r="I419"/>
  <c r="D419"/>
  <c r="O418"/>
  <c r="N418"/>
  <c r="M418"/>
  <c r="L418"/>
  <c r="I418"/>
  <c r="D418"/>
  <c r="O417"/>
  <c r="N417"/>
  <c r="M417"/>
  <c r="L417"/>
  <c r="I417"/>
  <c r="D417"/>
  <c r="O416"/>
  <c r="N416"/>
  <c r="M416"/>
  <c r="L416"/>
  <c r="I416"/>
  <c r="D416"/>
  <c r="O415"/>
  <c r="N415"/>
  <c r="M415"/>
  <c r="L415"/>
  <c r="I415"/>
  <c r="D415"/>
  <c r="O414"/>
  <c r="N414"/>
  <c r="M414"/>
  <c r="L414"/>
  <c r="I414"/>
  <c r="D414"/>
  <c r="O413"/>
  <c r="N413"/>
  <c r="M413"/>
  <c r="L413"/>
  <c r="I413"/>
  <c r="D413"/>
  <c r="O412"/>
  <c r="N412"/>
  <c r="M412"/>
  <c r="L412"/>
  <c r="I412"/>
  <c r="D412"/>
  <c r="O411"/>
  <c r="N411"/>
  <c r="M411"/>
  <c r="L411"/>
  <c r="I411"/>
  <c r="D411"/>
  <c r="O410"/>
  <c r="N410"/>
  <c r="M410"/>
  <c r="L410"/>
  <c r="I410"/>
  <c r="D410"/>
  <c r="O409"/>
  <c r="N409"/>
  <c r="M409"/>
  <c r="L409"/>
  <c r="I409"/>
  <c r="D409"/>
  <c r="O408"/>
  <c r="N408"/>
  <c r="M408"/>
  <c r="L408"/>
  <c r="I408"/>
  <c r="D408"/>
  <c r="O407"/>
  <c r="N407"/>
  <c r="M407"/>
  <c r="L407"/>
  <c r="I407"/>
  <c r="D407"/>
  <c r="O406"/>
  <c r="N406"/>
  <c r="M406"/>
  <c r="L406"/>
  <c r="I406"/>
  <c r="D406"/>
  <c r="O405"/>
  <c r="N405"/>
  <c r="M405"/>
  <c r="L405"/>
  <c r="I405"/>
  <c r="D405"/>
  <c r="O404"/>
  <c r="N404"/>
  <c r="M404"/>
  <c r="L404"/>
  <c r="I404"/>
  <c r="D404"/>
  <c r="O403"/>
  <c r="N403"/>
  <c r="M403"/>
  <c r="L403"/>
  <c r="I403"/>
  <c r="D403"/>
  <c r="O402"/>
  <c r="N402"/>
  <c r="M402"/>
  <c r="L402"/>
  <c r="I402"/>
  <c r="D402"/>
  <c r="O401"/>
  <c r="N401"/>
  <c r="M401"/>
  <c r="L401"/>
  <c r="I401"/>
  <c r="D401"/>
  <c r="O400"/>
  <c r="N400"/>
  <c r="M400"/>
  <c r="L400"/>
  <c r="I400"/>
  <c r="D400"/>
  <c r="O399"/>
  <c r="N399"/>
  <c r="M399"/>
  <c r="L399"/>
  <c r="I399"/>
  <c r="D399"/>
  <c r="O398"/>
  <c r="N398"/>
  <c r="M398"/>
  <c r="L398"/>
  <c r="I398"/>
  <c r="D398"/>
  <c r="O397"/>
  <c r="N397"/>
  <c r="M397"/>
  <c r="L397"/>
  <c r="I397"/>
  <c r="D397"/>
  <c r="O396"/>
  <c r="N396"/>
  <c r="M396"/>
  <c r="L396"/>
  <c r="I396"/>
  <c r="D396"/>
  <c r="O395"/>
  <c r="N395"/>
  <c r="M395"/>
  <c r="L395"/>
  <c r="I395"/>
  <c r="D395"/>
  <c r="O394"/>
  <c r="N394"/>
  <c r="M394"/>
  <c r="L394"/>
  <c r="I394"/>
  <c r="D394"/>
  <c r="O393"/>
  <c r="N393"/>
  <c r="M393"/>
  <c r="L393"/>
  <c r="I393"/>
  <c r="D393"/>
  <c r="O392"/>
  <c r="N392"/>
  <c r="M392"/>
  <c r="L392"/>
  <c r="I392"/>
  <c r="D392"/>
  <c r="O391"/>
  <c r="N391"/>
  <c r="M391"/>
  <c r="L391"/>
  <c r="I391"/>
  <c r="D391"/>
  <c r="O390"/>
  <c r="N390"/>
  <c r="M390"/>
  <c r="L390"/>
  <c r="I390"/>
  <c r="D390"/>
  <c r="O389"/>
  <c r="N389"/>
  <c r="M389"/>
  <c r="L389"/>
  <c r="I389"/>
  <c r="D389"/>
  <c r="O388"/>
  <c r="N388"/>
  <c r="M388"/>
  <c r="L388"/>
  <c r="I388"/>
  <c r="D388"/>
  <c r="O387"/>
  <c r="N387"/>
  <c r="M387"/>
  <c r="L387"/>
  <c r="I387"/>
  <c r="D387"/>
  <c r="O386"/>
  <c r="N386"/>
  <c r="M386"/>
  <c r="L386"/>
  <c r="I386"/>
  <c r="D386"/>
  <c r="O385"/>
  <c r="N385"/>
  <c r="M385"/>
  <c r="L385"/>
  <c r="I385"/>
  <c r="D385"/>
  <c r="O384"/>
  <c r="N384"/>
  <c r="M384"/>
  <c r="L384"/>
  <c r="I384"/>
  <c r="D384"/>
  <c r="O383"/>
  <c r="N383"/>
  <c r="M383"/>
  <c r="L383"/>
  <c r="I383"/>
  <c r="D383"/>
  <c r="O382"/>
  <c r="N382"/>
  <c r="M382"/>
  <c r="L382"/>
  <c r="I382"/>
  <c r="D382"/>
  <c r="O381"/>
  <c r="N381"/>
  <c r="M381"/>
  <c r="L381"/>
  <c r="I381"/>
  <c r="D381"/>
  <c r="O380"/>
  <c r="N380"/>
  <c r="M380"/>
  <c r="L380"/>
  <c r="I380"/>
  <c r="D380"/>
  <c r="O379"/>
  <c r="N379"/>
  <c r="M379"/>
  <c r="L379"/>
  <c r="I379"/>
  <c r="D379"/>
  <c r="O378"/>
  <c r="N378"/>
  <c r="M378"/>
  <c r="L378"/>
  <c r="I378"/>
  <c r="D378"/>
  <c r="O377"/>
  <c r="N377"/>
  <c r="M377"/>
  <c r="L377"/>
  <c r="I377"/>
  <c r="D377"/>
  <c r="O376"/>
  <c r="N376"/>
  <c r="M376"/>
  <c r="L376"/>
  <c r="I376"/>
  <c r="D376"/>
  <c r="O375"/>
  <c r="N375"/>
  <c r="M375"/>
  <c r="L375"/>
  <c r="I375"/>
  <c r="D375"/>
  <c r="O374"/>
  <c r="N374"/>
  <c r="M374"/>
  <c r="L374"/>
  <c r="I374"/>
  <c r="D374"/>
  <c r="O373"/>
  <c r="N373"/>
  <c r="M373"/>
  <c r="L373"/>
  <c r="I373"/>
  <c r="D373"/>
  <c r="O372"/>
  <c r="N372"/>
  <c r="M372"/>
  <c r="L372"/>
  <c r="I372"/>
  <c r="D372"/>
  <c r="O371"/>
  <c r="N371"/>
  <c r="M371"/>
  <c r="L371"/>
  <c r="I371"/>
  <c r="D371"/>
  <c r="O370"/>
  <c r="N370"/>
  <c r="M370"/>
  <c r="L370"/>
  <c r="I370"/>
  <c r="D370"/>
  <c r="O369"/>
  <c r="N369"/>
  <c r="M369"/>
  <c r="L369"/>
  <c r="I369"/>
  <c r="D369"/>
  <c r="O368"/>
  <c r="N368"/>
  <c r="M368"/>
  <c r="L368"/>
  <c r="I368"/>
  <c r="D368"/>
  <c r="O367"/>
  <c r="N367"/>
  <c r="M367"/>
  <c r="L367"/>
  <c r="I367"/>
  <c r="D367"/>
  <c r="O366"/>
  <c r="N366"/>
  <c r="M366"/>
  <c r="L366"/>
  <c r="I366"/>
  <c r="D366"/>
  <c r="O365"/>
  <c r="N365"/>
  <c r="M365"/>
  <c r="L365"/>
  <c r="I365"/>
  <c r="D365"/>
  <c r="O364"/>
  <c r="N364"/>
  <c r="M364"/>
  <c r="L364"/>
  <c r="I364"/>
  <c r="D364"/>
  <c r="O363"/>
  <c r="N363"/>
  <c r="M363"/>
  <c r="L363"/>
  <c r="I363"/>
  <c r="D363"/>
  <c r="O362"/>
  <c r="N362"/>
  <c r="M362"/>
  <c r="L362"/>
  <c r="I362"/>
  <c r="D362"/>
  <c r="O361"/>
  <c r="N361"/>
  <c r="M361"/>
  <c r="L361"/>
  <c r="I361"/>
  <c r="D361"/>
  <c r="O360"/>
  <c r="N360"/>
  <c r="M360"/>
  <c r="L360"/>
  <c r="I360"/>
  <c r="D360"/>
  <c r="O359"/>
  <c r="N359"/>
  <c r="M359"/>
  <c r="L359"/>
  <c r="I359"/>
  <c r="D359"/>
  <c r="O358"/>
  <c r="N358"/>
  <c r="M358"/>
  <c r="L358"/>
  <c r="I358"/>
  <c r="D358"/>
  <c r="O357"/>
  <c r="N357"/>
  <c r="M357"/>
  <c r="L357"/>
  <c r="I357"/>
  <c r="D357"/>
  <c r="O356"/>
  <c r="N356"/>
  <c r="M356"/>
  <c r="L356"/>
  <c r="I356"/>
  <c r="D356"/>
  <c r="O355"/>
  <c r="N355"/>
  <c r="M355"/>
  <c r="L355"/>
  <c r="I355"/>
  <c r="D355"/>
  <c r="O354"/>
  <c r="N354"/>
  <c r="M354"/>
  <c r="L354"/>
  <c r="I354"/>
  <c r="D354"/>
  <c r="O353"/>
  <c r="N353"/>
  <c r="M353"/>
  <c r="L353"/>
  <c r="I353"/>
  <c r="D353"/>
  <c r="O352"/>
  <c r="N352"/>
  <c r="M352"/>
  <c r="L352"/>
  <c r="I352"/>
  <c r="D352"/>
  <c r="O351"/>
  <c r="N351"/>
  <c r="M351"/>
  <c r="L351"/>
  <c r="I351"/>
  <c r="D351"/>
  <c r="O350"/>
  <c r="N350"/>
  <c r="M350"/>
  <c r="L350"/>
  <c r="I350"/>
  <c r="D350"/>
  <c r="O349"/>
  <c r="N349"/>
  <c r="M349"/>
  <c r="L349"/>
  <c r="I349"/>
  <c r="D349"/>
  <c r="O348"/>
  <c r="N348"/>
  <c r="M348"/>
  <c r="L348"/>
  <c r="I348"/>
  <c r="D348"/>
  <c r="O347"/>
  <c r="N347"/>
  <c r="M347"/>
  <c r="L347"/>
  <c r="I347"/>
  <c r="D347"/>
  <c r="O346"/>
  <c r="N346"/>
  <c r="M346"/>
  <c r="L346"/>
  <c r="I346"/>
  <c r="D346"/>
  <c r="O345"/>
  <c r="N345"/>
  <c r="M345"/>
  <c r="L345"/>
  <c r="I345"/>
  <c r="D345"/>
  <c r="O344"/>
  <c r="N344"/>
  <c r="M344"/>
  <c r="L344"/>
  <c r="I344"/>
  <c r="D344"/>
  <c r="O343"/>
  <c r="N343"/>
  <c r="M343"/>
  <c r="L343"/>
  <c r="I343"/>
  <c r="D343"/>
  <c r="O342"/>
  <c r="N342"/>
  <c r="M342"/>
  <c r="L342"/>
  <c r="I342"/>
  <c r="D342"/>
  <c r="O341"/>
  <c r="N341"/>
  <c r="M341"/>
  <c r="L341"/>
  <c r="I341"/>
  <c r="D341"/>
  <c r="O340"/>
  <c r="N340"/>
  <c r="M340"/>
  <c r="L340"/>
  <c r="I340"/>
  <c r="D340"/>
  <c r="O339"/>
  <c r="N339"/>
  <c r="M339"/>
  <c r="L339"/>
  <c r="I339"/>
  <c r="D339"/>
  <c r="O338"/>
  <c r="N338"/>
  <c r="M338"/>
  <c r="L338"/>
  <c r="I338"/>
  <c r="D338"/>
  <c r="O337"/>
  <c r="N337"/>
  <c r="M337"/>
  <c r="L337"/>
  <c r="I337"/>
  <c r="D337"/>
  <c r="O336"/>
  <c r="N336"/>
  <c r="M336"/>
  <c r="L336"/>
  <c r="I336"/>
  <c r="D336"/>
  <c r="O335"/>
  <c r="N335"/>
  <c r="M335"/>
  <c r="L335"/>
  <c r="I335"/>
  <c r="D335"/>
  <c r="O334"/>
  <c r="N334"/>
  <c r="M334"/>
  <c r="L334"/>
  <c r="I334"/>
  <c r="D334"/>
  <c r="O333"/>
  <c r="N333"/>
  <c r="M333"/>
  <c r="L333"/>
  <c r="I333"/>
  <c r="D333"/>
  <c r="O332"/>
  <c r="N332"/>
  <c r="M332"/>
  <c r="L332"/>
  <c r="I332"/>
  <c r="D332"/>
  <c r="O331"/>
  <c r="N331"/>
  <c r="M331"/>
  <c r="L331"/>
  <c r="I331"/>
  <c r="D331"/>
  <c r="O330"/>
  <c r="N330"/>
  <c r="M330"/>
  <c r="L330"/>
  <c r="I330"/>
  <c r="D330"/>
  <c r="O329"/>
  <c r="N329"/>
  <c r="M329"/>
  <c r="L329"/>
  <c r="I329"/>
  <c r="D329"/>
  <c r="O328"/>
  <c r="N328"/>
  <c r="M328"/>
  <c r="L328"/>
  <c r="I328"/>
  <c r="D328"/>
  <c r="O327"/>
  <c r="N327"/>
  <c r="M327"/>
  <c r="L327"/>
  <c r="I327"/>
  <c r="D327"/>
  <c r="O326"/>
  <c r="N326"/>
  <c r="M326"/>
  <c r="L326"/>
  <c r="I326"/>
  <c r="D326"/>
  <c r="O325"/>
  <c r="N325"/>
  <c r="M325"/>
  <c r="L325"/>
  <c r="I325"/>
  <c r="D325"/>
  <c r="O324"/>
  <c r="N324"/>
  <c r="M324"/>
  <c r="L324"/>
  <c r="I324"/>
  <c r="D324"/>
  <c r="O323"/>
  <c r="N323"/>
  <c r="M323"/>
  <c r="L323"/>
  <c r="I323"/>
  <c r="D323"/>
  <c r="O322"/>
  <c r="N322"/>
  <c r="M322"/>
  <c r="L322"/>
  <c r="I322"/>
  <c r="D322"/>
  <c r="O321"/>
  <c r="N321"/>
  <c r="M321"/>
  <c r="L321"/>
  <c r="I321"/>
  <c r="D321"/>
  <c r="O320"/>
  <c r="N320"/>
  <c r="M320"/>
  <c r="L320"/>
  <c r="I320"/>
  <c r="D320"/>
  <c r="O319"/>
  <c r="N319"/>
  <c r="M319"/>
  <c r="L319"/>
  <c r="I319"/>
  <c r="D319"/>
  <c r="O318"/>
  <c r="N318"/>
  <c r="M318"/>
  <c r="L318"/>
  <c r="I318"/>
  <c r="D318"/>
  <c r="O317"/>
  <c r="N317"/>
  <c r="M317"/>
  <c r="L317"/>
  <c r="I317"/>
  <c r="D317"/>
  <c r="O316"/>
  <c r="N316"/>
  <c r="M316"/>
  <c r="L316"/>
  <c r="I316"/>
  <c r="D316"/>
  <c r="O315"/>
  <c r="N315"/>
  <c r="M315"/>
  <c r="L315"/>
  <c r="I315"/>
  <c r="D315"/>
  <c r="O314"/>
  <c r="N314"/>
  <c r="M314"/>
  <c r="L314"/>
  <c r="I314"/>
  <c r="D314"/>
  <c r="O313"/>
  <c r="N313"/>
  <c r="M313"/>
  <c r="L313"/>
  <c r="I313"/>
  <c r="D313"/>
  <c r="O312"/>
  <c r="N312"/>
  <c r="M312"/>
  <c r="L312"/>
  <c r="I312"/>
  <c r="D312"/>
  <c r="O311"/>
  <c r="N311"/>
  <c r="M311"/>
  <c r="L311"/>
  <c r="I311"/>
  <c r="D311"/>
  <c r="O310"/>
  <c r="N310"/>
  <c r="M310"/>
  <c r="L310"/>
  <c r="I310"/>
  <c r="D310"/>
  <c r="O309"/>
  <c r="N309"/>
  <c r="M309"/>
  <c r="L309"/>
  <c r="I309"/>
  <c r="D309"/>
  <c r="O308"/>
  <c r="N308"/>
  <c r="M308"/>
  <c r="L308"/>
  <c r="I308"/>
  <c r="D308"/>
  <c r="O307"/>
  <c r="N307"/>
  <c r="M307"/>
  <c r="L307"/>
  <c r="I307"/>
  <c r="D307"/>
  <c r="O306"/>
  <c r="N306"/>
  <c r="M306"/>
  <c r="L306"/>
  <c r="I306"/>
  <c r="D306"/>
  <c r="O305"/>
  <c r="N305"/>
  <c r="M305"/>
  <c r="L305"/>
  <c r="I305"/>
  <c r="D305"/>
  <c r="O304"/>
  <c r="N304"/>
  <c r="M304"/>
  <c r="L304"/>
  <c r="I304"/>
  <c r="D304"/>
  <c r="O303"/>
  <c r="N303"/>
  <c r="M303"/>
  <c r="L303"/>
  <c r="I303"/>
  <c r="D303"/>
  <c r="O302"/>
  <c r="N302"/>
  <c r="M302"/>
  <c r="L302"/>
  <c r="I302"/>
  <c r="D302"/>
  <c r="O301"/>
  <c r="N301"/>
  <c r="M301"/>
  <c r="L301"/>
  <c r="I301"/>
  <c r="D301"/>
  <c r="O300"/>
  <c r="N300"/>
  <c r="M300"/>
  <c r="L300"/>
  <c r="I300"/>
  <c r="D300"/>
  <c r="O299"/>
  <c r="N299"/>
  <c r="M299"/>
  <c r="L299"/>
  <c r="I299"/>
  <c r="D299"/>
  <c r="O298"/>
  <c r="N298"/>
  <c r="M298"/>
  <c r="L298"/>
  <c r="I298"/>
  <c r="D298"/>
  <c r="O297"/>
  <c r="N297"/>
  <c r="M297"/>
  <c r="L297"/>
  <c r="I297"/>
  <c r="D297"/>
  <c r="O296"/>
  <c r="N296"/>
  <c r="M296"/>
  <c r="L296"/>
  <c r="I296"/>
  <c r="D296"/>
  <c r="O295"/>
  <c r="N295"/>
  <c r="M295"/>
  <c r="L295"/>
  <c r="I295"/>
  <c r="D295"/>
  <c r="O294"/>
  <c r="N294"/>
  <c r="M294"/>
  <c r="L294"/>
  <c r="I294"/>
  <c r="D294"/>
  <c r="O293"/>
  <c r="N293"/>
  <c r="M293"/>
  <c r="L293"/>
  <c r="I293"/>
  <c r="D293"/>
  <c r="O292"/>
  <c r="N292"/>
  <c r="M292"/>
  <c r="L292"/>
  <c r="I292"/>
  <c r="D292"/>
  <c r="O291"/>
  <c r="N291"/>
  <c r="M291"/>
  <c r="L291"/>
  <c r="I291"/>
  <c r="D291"/>
  <c r="O290"/>
  <c r="N290"/>
  <c r="M290"/>
  <c r="L290"/>
  <c r="I290"/>
  <c r="D290"/>
  <c r="O289"/>
  <c r="N289"/>
  <c r="M289"/>
  <c r="L289"/>
  <c r="I289"/>
  <c r="D289"/>
  <c r="O288"/>
  <c r="N288"/>
  <c r="M288"/>
  <c r="L288"/>
  <c r="I288"/>
  <c r="D288"/>
  <c r="O287"/>
  <c r="N287"/>
  <c r="M287"/>
  <c r="L287"/>
  <c r="I287"/>
  <c r="D287"/>
  <c r="O286"/>
  <c r="N286"/>
  <c r="M286"/>
  <c r="L286"/>
  <c r="I286"/>
  <c r="D286"/>
  <c r="O285"/>
  <c r="N285"/>
  <c r="M285"/>
  <c r="L285"/>
  <c r="I285"/>
  <c r="D285"/>
  <c r="O284"/>
  <c r="N284"/>
  <c r="M284"/>
  <c r="L284"/>
  <c r="I284"/>
  <c r="D284"/>
  <c r="O283"/>
  <c r="N283"/>
  <c r="M283"/>
  <c r="L283"/>
  <c r="I283"/>
  <c r="D283"/>
  <c r="O282"/>
  <c r="N282"/>
  <c r="M282"/>
  <c r="L282"/>
  <c r="I282"/>
  <c r="D282"/>
  <c r="O281"/>
  <c r="N281"/>
  <c r="M281"/>
  <c r="L281"/>
  <c r="I281"/>
  <c r="D281"/>
  <c r="O280"/>
  <c r="N280"/>
  <c r="M280"/>
  <c r="L280"/>
  <c r="I280"/>
  <c r="D280"/>
  <c r="O279"/>
  <c r="N279"/>
  <c r="M279"/>
  <c r="L279"/>
  <c r="I279"/>
  <c r="D279"/>
  <c r="O278"/>
  <c r="N278"/>
  <c r="M278"/>
  <c r="L278"/>
  <c r="I278"/>
  <c r="D278"/>
  <c r="O277"/>
  <c r="N277"/>
  <c r="M277"/>
  <c r="L277"/>
  <c r="I277"/>
  <c r="D277"/>
  <c r="O276"/>
  <c r="N276"/>
  <c r="M276"/>
  <c r="L276"/>
  <c r="I276"/>
  <c r="D276"/>
  <c r="O275"/>
  <c r="N275"/>
  <c r="M275"/>
  <c r="L275"/>
  <c r="I275"/>
  <c r="D275"/>
  <c r="O274"/>
  <c r="N274"/>
  <c r="M274"/>
  <c r="L274"/>
  <c r="I274"/>
  <c r="D274"/>
  <c r="O273"/>
  <c r="N273"/>
  <c r="M273"/>
  <c r="L273"/>
  <c r="I273"/>
  <c r="D273"/>
  <c r="O272"/>
  <c r="N272"/>
  <c r="M272"/>
  <c r="L272"/>
  <c r="I272"/>
  <c r="D272"/>
  <c r="O271"/>
  <c r="N271"/>
  <c r="M271"/>
  <c r="L271"/>
  <c r="I271"/>
  <c r="D271"/>
  <c r="O270"/>
  <c r="N270"/>
  <c r="M270"/>
  <c r="L270"/>
  <c r="I270"/>
  <c r="D270"/>
  <c r="O269"/>
  <c r="N269"/>
  <c r="M269"/>
  <c r="L269"/>
  <c r="I269"/>
  <c r="D269"/>
  <c r="O268"/>
  <c r="N268"/>
  <c r="M268"/>
  <c r="L268"/>
  <c r="I268"/>
  <c r="D268"/>
  <c r="O267"/>
  <c r="N267"/>
  <c r="M267"/>
  <c r="L267"/>
  <c r="I267"/>
  <c r="D267"/>
  <c r="O266"/>
  <c r="N266"/>
  <c r="M266"/>
  <c r="L266"/>
  <c r="I266"/>
  <c r="D266"/>
  <c r="O265"/>
  <c r="N265"/>
  <c r="M265"/>
  <c r="L265"/>
  <c r="I265"/>
  <c r="D265"/>
  <c r="O264"/>
  <c r="N264"/>
  <c r="M264"/>
  <c r="L264"/>
  <c r="I264"/>
  <c r="D264"/>
  <c r="O263"/>
  <c r="N263"/>
  <c r="M263"/>
  <c r="L263"/>
  <c r="I263"/>
  <c r="D263"/>
  <c r="O262"/>
  <c r="N262"/>
  <c r="M262"/>
  <c r="L262"/>
  <c r="I262"/>
  <c r="D262"/>
  <c r="O261"/>
  <c r="N261"/>
  <c r="M261"/>
  <c r="L261"/>
  <c r="I261"/>
  <c r="D261"/>
  <c r="O260"/>
  <c r="N260"/>
  <c r="M260"/>
  <c r="L260"/>
  <c r="I260"/>
  <c r="D260"/>
  <c r="O259"/>
  <c r="N259"/>
  <c r="M259"/>
  <c r="L259"/>
  <c r="I259"/>
  <c r="D259"/>
  <c r="O258"/>
  <c r="N258"/>
  <c r="M258"/>
  <c r="L258"/>
  <c r="I258"/>
  <c r="D258"/>
  <c r="O257"/>
  <c r="N257"/>
  <c r="M257"/>
  <c r="L257"/>
  <c r="I257"/>
  <c r="D257"/>
  <c r="O256"/>
  <c r="N256"/>
  <c r="M256"/>
  <c r="L256"/>
  <c r="I256"/>
  <c r="D256"/>
  <c r="O255"/>
  <c r="N255"/>
  <c r="M255"/>
  <c r="L255"/>
  <c r="I255"/>
  <c r="D255"/>
  <c r="O254"/>
  <c r="N254"/>
  <c r="M254"/>
  <c r="L254"/>
  <c r="I254"/>
  <c r="D254"/>
  <c r="O253"/>
  <c r="N253"/>
  <c r="M253"/>
  <c r="L253"/>
  <c r="I253"/>
  <c r="D253"/>
  <c r="O252"/>
  <c r="N252"/>
  <c r="M252"/>
  <c r="L252"/>
  <c r="I252"/>
  <c r="D252"/>
  <c r="O251"/>
  <c r="N251"/>
  <c r="M251"/>
  <c r="L251"/>
  <c r="I251"/>
  <c r="D251"/>
  <c r="O250"/>
  <c r="N250"/>
  <c r="M250"/>
  <c r="L250"/>
  <c r="I250"/>
  <c r="D250"/>
  <c r="O249"/>
  <c r="N249"/>
  <c r="M249"/>
  <c r="L249"/>
  <c r="I249"/>
  <c r="D249"/>
  <c r="O248"/>
  <c r="N248"/>
  <c r="M248"/>
  <c r="L248"/>
  <c r="I248"/>
  <c r="D248"/>
  <c r="O247"/>
  <c r="N247"/>
  <c r="M247"/>
  <c r="L247"/>
  <c r="I247"/>
  <c r="D247"/>
  <c r="O246"/>
  <c r="N246"/>
  <c r="M246"/>
  <c r="L246"/>
  <c r="I246"/>
  <c r="D246"/>
  <c r="O245"/>
  <c r="N245"/>
  <c r="M245"/>
  <c r="L245"/>
  <c r="I245"/>
  <c r="D245"/>
  <c r="O244"/>
  <c r="N244"/>
  <c r="M244"/>
  <c r="L244"/>
  <c r="I244"/>
  <c r="D244"/>
  <c r="O243"/>
  <c r="N243"/>
  <c r="M243"/>
  <c r="L243"/>
  <c r="I243"/>
  <c r="D243"/>
  <c r="O242"/>
  <c r="N242"/>
  <c r="M242"/>
  <c r="L242"/>
  <c r="I242"/>
  <c r="D242"/>
  <c r="O241"/>
  <c r="N241"/>
  <c r="M241"/>
  <c r="L241"/>
  <c r="I241"/>
  <c r="D241"/>
  <c r="O240"/>
  <c r="N240"/>
  <c r="M240"/>
  <c r="L240"/>
  <c r="I240"/>
  <c r="D240"/>
  <c r="O239"/>
  <c r="N239"/>
  <c r="M239"/>
  <c r="L239"/>
  <c r="I239"/>
  <c r="D239"/>
  <c r="O238"/>
  <c r="N238"/>
  <c r="M238"/>
  <c r="L238"/>
  <c r="I238"/>
  <c r="D238"/>
  <c r="O237"/>
  <c r="N237"/>
  <c r="M237"/>
  <c r="L237"/>
  <c r="I237"/>
  <c r="D237"/>
  <c r="O236"/>
  <c r="N236"/>
  <c r="M236"/>
  <c r="L236"/>
  <c r="I236"/>
  <c r="D236"/>
  <c r="O235"/>
  <c r="N235"/>
  <c r="M235"/>
  <c r="L235"/>
  <c r="I235"/>
  <c r="D235"/>
  <c r="O234"/>
  <c r="N234"/>
  <c r="M234"/>
  <c r="L234"/>
  <c r="I234"/>
  <c r="D234"/>
  <c r="O233"/>
  <c r="N233"/>
  <c r="M233"/>
  <c r="L233"/>
  <c r="I233"/>
  <c r="D233"/>
  <c r="O232"/>
  <c r="N232"/>
  <c r="M232"/>
  <c r="L232"/>
  <c r="I232"/>
  <c r="D232"/>
  <c r="O231"/>
  <c r="N231"/>
  <c r="M231"/>
  <c r="L231"/>
  <c r="I231"/>
  <c r="D231"/>
  <c r="O230"/>
  <c r="N230"/>
  <c r="M230"/>
  <c r="L230"/>
  <c r="I230"/>
  <c r="D230"/>
  <c r="O229"/>
  <c r="N229"/>
  <c r="M229"/>
  <c r="L229"/>
  <c r="I229"/>
  <c r="D229"/>
  <c r="O228"/>
  <c r="N228"/>
  <c r="M228"/>
  <c r="L228"/>
  <c r="I228"/>
  <c r="D228"/>
  <c r="O227"/>
  <c r="N227"/>
  <c r="M227"/>
  <c r="L227"/>
  <c r="I227"/>
  <c r="D227"/>
  <c r="O226"/>
  <c r="N226"/>
  <c r="M226"/>
  <c r="L226"/>
  <c r="I226"/>
  <c r="D226"/>
  <c r="O225"/>
  <c r="N225"/>
  <c r="M225"/>
  <c r="L225"/>
  <c r="I225"/>
  <c r="D225"/>
  <c r="O224"/>
  <c r="N224"/>
  <c r="M224"/>
  <c r="L224"/>
  <c r="I224"/>
  <c r="D224"/>
  <c r="O223"/>
  <c r="N223"/>
  <c r="M223"/>
  <c r="L223"/>
  <c r="I223"/>
  <c r="D223"/>
  <c r="O222"/>
  <c r="N222"/>
  <c r="M222"/>
  <c r="L222"/>
  <c r="I222"/>
  <c r="D222"/>
  <c r="O221"/>
  <c r="N221"/>
  <c r="M221"/>
  <c r="L221"/>
  <c r="I221"/>
  <c r="D221"/>
  <c r="O220"/>
  <c r="N220"/>
  <c r="M220"/>
  <c r="L220"/>
  <c r="I220"/>
  <c r="D220"/>
  <c r="O219"/>
  <c r="N219"/>
  <c r="M219"/>
  <c r="L219"/>
  <c r="I219"/>
  <c r="D219"/>
  <c r="O218"/>
  <c r="N218"/>
  <c r="M218"/>
  <c r="L218"/>
  <c r="I218"/>
  <c r="D218"/>
  <c r="O217"/>
  <c r="N217"/>
  <c r="M217"/>
  <c r="L217"/>
  <c r="I217"/>
  <c r="D217"/>
  <c r="O216"/>
  <c r="N216"/>
  <c r="M216"/>
  <c r="L216"/>
  <c r="I216"/>
  <c r="D216"/>
  <c r="O215"/>
  <c r="N215"/>
  <c r="M215"/>
  <c r="L215"/>
  <c r="I215"/>
  <c r="D215"/>
  <c r="O214"/>
  <c r="N214"/>
  <c r="M214"/>
  <c r="L214"/>
  <c r="I214"/>
  <c r="D214"/>
  <c r="O213"/>
  <c r="N213"/>
  <c r="M213"/>
  <c r="L213"/>
  <c r="I213"/>
  <c r="D213"/>
  <c r="O212"/>
  <c r="N212"/>
  <c r="M212"/>
  <c r="L212"/>
  <c r="I212"/>
  <c r="D212"/>
  <c r="O211"/>
  <c r="N211"/>
  <c r="M211"/>
  <c r="L211"/>
  <c r="I211"/>
  <c r="D211"/>
  <c r="O210"/>
  <c r="N210"/>
  <c r="M210"/>
  <c r="L210"/>
  <c r="I210"/>
  <c r="D210"/>
  <c r="O209"/>
  <c r="N209"/>
  <c r="M209"/>
  <c r="L209"/>
  <c r="I209"/>
  <c r="D209"/>
  <c r="O208"/>
  <c r="N208"/>
  <c r="M208"/>
  <c r="L208"/>
  <c r="I208"/>
  <c r="D208"/>
  <c r="O207"/>
  <c r="N207"/>
  <c r="M207"/>
  <c r="L207"/>
  <c r="I207"/>
  <c r="D207"/>
  <c r="O206"/>
  <c r="N206"/>
  <c r="M206"/>
  <c r="L206"/>
  <c r="I206"/>
  <c r="D206"/>
  <c r="O205"/>
  <c r="N205"/>
  <c r="M205"/>
  <c r="L205"/>
  <c r="I205"/>
  <c r="D205"/>
  <c r="O204"/>
  <c r="N204"/>
  <c r="M204"/>
  <c r="L204"/>
  <c r="I204"/>
  <c r="D204"/>
  <c r="O203"/>
  <c r="N203"/>
  <c r="M203"/>
  <c r="L203"/>
  <c r="I203"/>
  <c r="D203"/>
  <c r="O202"/>
  <c r="N202"/>
  <c r="M202"/>
  <c r="L202"/>
  <c r="I202"/>
  <c r="D202"/>
  <c r="O201"/>
  <c r="N201"/>
  <c r="M201"/>
  <c r="L201"/>
  <c r="I201"/>
  <c r="D201"/>
  <c r="O200"/>
  <c r="N200"/>
  <c r="M200"/>
  <c r="L200"/>
  <c r="I200"/>
  <c r="D200"/>
  <c r="O199"/>
  <c r="N199"/>
  <c r="M199"/>
  <c r="L199"/>
  <c r="I199"/>
  <c r="D199"/>
  <c r="O198"/>
  <c r="N198"/>
  <c r="M198"/>
  <c r="L198"/>
  <c r="I198"/>
  <c r="D198"/>
  <c r="O197"/>
  <c r="N197"/>
  <c r="M197"/>
  <c r="L197"/>
  <c r="I197"/>
  <c r="D197"/>
  <c r="O196"/>
  <c r="N196"/>
  <c r="M196"/>
  <c r="L196"/>
  <c r="I196"/>
  <c r="D196"/>
  <c r="O195"/>
  <c r="N195"/>
  <c r="M195"/>
  <c r="L195"/>
  <c r="I195"/>
  <c r="D195"/>
  <c r="O194"/>
  <c r="N194"/>
  <c r="M194"/>
  <c r="L194"/>
  <c r="I194"/>
  <c r="D194"/>
  <c r="O193"/>
  <c r="N193"/>
  <c r="M193"/>
  <c r="L193"/>
  <c r="I193"/>
  <c r="D193"/>
  <c r="O192"/>
  <c r="N192"/>
  <c r="M192"/>
  <c r="L192"/>
  <c r="I192"/>
  <c r="D192"/>
  <c r="O191"/>
  <c r="N191"/>
  <c r="M191"/>
  <c r="L191"/>
  <c r="I191"/>
  <c r="D191"/>
  <c r="O190"/>
  <c r="N190"/>
  <c r="M190"/>
  <c r="L190"/>
  <c r="I190"/>
  <c r="D190"/>
  <c r="O189"/>
  <c r="N189"/>
  <c r="M189"/>
  <c r="L189"/>
  <c r="I189"/>
  <c r="D189"/>
  <c r="O188"/>
  <c r="N188"/>
  <c r="M188"/>
  <c r="L188"/>
  <c r="I188"/>
  <c r="D188"/>
  <c r="O187"/>
  <c r="N187"/>
  <c r="M187"/>
  <c r="L187"/>
  <c r="I187"/>
  <c r="D187"/>
  <c r="O186"/>
  <c r="N186"/>
  <c r="M186"/>
  <c r="L186"/>
  <c r="I186"/>
  <c r="D186"/>
  <c r="O185"/>
  <c r="N185"/>
  <c r="M185"/>
  <c r="L185"/>
  <c r="I185"/>
  <c r="D185"/>
  <c r="O184"/>
  <c r="N184"/>
  <c r="M184"/>
  <c r="L184"/>
  <c r="I184"/>
  <c r="D184"/>
  <c r="O183"/>
  <c r="N183"/>
  <c r="M183"/>
  <c r="L183"/>
  <c r="I183"/>
  <c r="D183"/>
  <c r="O182"/>
  <c r="N182"/>
  <c r="M182"/>
  <c r="L182"/>
  <c r="I182"/>
  <c r="D182"/>
  <c r="O181"/>
  <c r="N181"/>
  <c r="M181"/>
  <c r="L181"/>
  <c r="I181"/>
  <c r="D181"/>
  <c r="O180"/>
  <c r="N180"/>
  <c r="M180"/>
  <c r="L180"/>
  <c r="I180"/>
  <c r="D180"/>
  <c r="O179"/>
  <c r="N179"/>
  <c r="M179"/>
  <c r="L179"/>
  <c r="I179"/>
  <c r="D179"/>
  <c r="O178"/>
  <c r="N178"/>
  <c r="M178"/>
  <c r="L178"/>
  <c r="I178"/>
  <c r="D178"/>
  <c r="O177"/>
  <c r="N177"/>
  <c r="M177"/>
  <c r="L177"/>
  <c r="I177"/>
  <c r="D177"/>
  <c r="O176"/>
  <c r="N176"/>
  <c r="M176"/>
  <c r="L176"/>
  <c r="I176"/>
  <c r="D176"/>
  <c r="O175"/>
  <c r="N175"/>
  <c r="M175"/>
  <c r="L175"/>
  <c r="I175"/>
  <c r="D175"/>
  <c r="O174"/>
  <c r="N174"/>
  <c r="M174"/>
  <c r="L174"/>
  <c r="I174"/>
  <c r="D174"/>
  <c r="O173"/>
  <c r="N173"/>
  <c r="M173"/>
  <c r="L173"/>
  <c r="I173"/>
  <c r="D173"/>
  <c r="O172"/>
  <c r="N172"/>
  <c r="M172"/>
  <c r="L172"/>
  <c r="I172"/>
  <c r="D172"/>
  <c r="O171"/>
  <c r="N171"/>
  <c r="M171"/>
  <c r="L171"/>
  <c r="I171"/>
  <c r="D171"/>
  <c r="O170"/>
  <c r="N170"/>
  <c r="M170"/>
  <c r="L170"/>
  <c r="I170"/>
  <c r="D170"/>
  <c r="O169"/>
  <c r="N169"/>
  <c r="M169"/>
  <c r="L169"/>
  <c r="I169"/>
  <c r="D169"/>
  <c r="O168"/>
  <c r="N168"/>
  <c r="M168"/>
  <c r="L168"/>
  <c r="I168"/>
  <c r="D168"/>
  <c r="O167"/>
  <c r="N167"/>
  <c r="M167"/>
  <c r="L167"/>
  <c r="I167"/>
  <c r="D167"/>
  <c r="O166"/>
  <c r="N166"/>
  <c r="M166"/>
  <c r="L166"/>
  <c r="I166"/>
  <c r="D166"/>
  <c r="O165"/>
  <c r="N165"/>
  <c r="M165"/>
  <c r="L165"/>
  <c r="I165"/>
  <c r="D165"/>
  <c r="O164"/>
  <c r="N164"/>
  <c r="M164"/>
  <c r="L164"/>
  <c r="I164"/>
  <c r="D164"/>
  <c r="O163"/>
  <c r="N163"/>
  <c r="M163"/>
  <c r="L163"/>
  <c r="I163"/>
  <c r="D163"/>
  <c r="O162"/>
  <c r="N162"/>
  <c r="M162"/>
  <c r="L162"/>
  <c r="I162"/>
  <c r="D162"/>
  <c r="O161"/>
  <c r="N161"/>
  <c r="M161"/>
  <c r="L161"/>
  <c r="I161"/>
  <c r="D161"/>
  <c r="O160"/>
  <c r="N160"/>
  <c r="M160"/>
  <c r="L160"/>
  <c r="I160"/>
  <c r="D160"/>
  <c r="O159"/>
  <c r="N159"/>
  <c r="M159"/>
  <c r="L159"/>
  <c r="I159"/>
  <c r="D159"/>
  <c r="O158"/>
  <c r="N158"/>
  <c r="M158"/>
  <c r="L158"/>
  <c r="I158"/>
  <c r="D158"/>
  <c r="O157"/>
  <c r="N157"/>
  <c r="M157"/>
  <c r="L157"/>
  <c r="I157"/>
  <c r="D157"/>
  <c r="O156"/>
  <c r="N156"/>
  <c r="M156"/>
  <c r="L156"/>
  <c r="I156"/>
  <c r="D156"/>
  <c r="O155"/>
  <c r="N155"/>
  <c r="M155"/>
  <c r="L155"/>
  <c r="I155"/>
  <c r="D155"/>
  <c r="O154"/>
  <c r="N154"/>
  <c r="M154"/>
  <c r="L154"/>
  <c r="I154"/>
  <c r="D154"/>
  <c r="O153"/>
  <c r="N153"/>
  <c r="M153"/>
  <c r="L153"/>
  <c r="I153"/>
  <c r="D153"/>
  <c r="O152"/>
  <c r="N152"/>
  <c r="M152"/>
  <c r="L152"/>
  <c r="I152"/>
  <c r="D152"/>
  <c r="O151"/>
  <c r="N151"/>
  <c r="M151"/>
  <c r="L151"/>
  <c r="I151"/>
  <c r="D151"/>
  <c r="O150"/>
  <c r="N150"/>
  <c r="M150"/>
  <c r="L150"/>
  <c r="I150"/>
  <c r="D150"/>
  <c r="O149"/>
  <c r="N149"/>
  <c r="M149"/>
  <c r="L149"/>
  <c r="I149"/>
  <c r="D149"/>
  <c r="O148"/>
  <c r="N148"/>
  <c r="M148"/>
  <c r="L148"/>
  <c r="I148"/>
  <c r="D148"/>
  <c r="O147"/>
  <c r="N147"/>
  <c r="M147"/>
  <c r="L147"/>
  <c r="I147"/>
  <c r="D147"/>
  <c r="O146"/>
  <c r="N146"/>
  <c r="M146"/>
  <c r="L146"/>
  <c r="I146"/>
  <c r="D146"/>
  <c r="O145"/>
  <c r="N145"/>
  <c r="M145"/>
  <c r="L145"/>
  <c r="I145"/>
  <c r="D145"/>
  <c r="O144"/>
  <c r="N144"/>
  <c r="M144"/>
  <c r="L144"/>
  <c r="I144"/>
  <c r="D144"/>
  <c r="O143"/>
  <c r="N143"/>
  <c r="M143"/>
  <c r="L143"/>
  <c r="I143"/>
  <c r="D143"/>
  <c r="O142"/>
  <c r="N142"/>
  <c r="M142"/>
  <c r="L142"/>
  <c r="I142"/>
  <c r="D142"/>
  <c r="O141"/>
  <c r="N141"/>
  <c r="M141"/>
  <c r="L141"/>
  <c r="I141"/>
  <c r="D141"/>
  <c r="O140"/>
  <c r="N140"/>
  <c r="M140"/>
  <c r="L140"/>
  <c r="I140"/>
  <c r="D140"/>
  <c r="O139"/>
  <c r="N139"/>
  <c r="M139"/>
  <c r="L139"/>
  <c r="I139"/>
  <c r="D139"/>
  <c r="O138"/>
  <c r="N138"/>
  <c r="M138"/>
  <c r="L138"/>
  <c r="I138"/>
  <c r="D138"/>
  <c r="O137"/>
  <c r="N137"/>
  <c r="M137"/>
  <c r="L137"/>
  <c r="I137"/>
  <c r="D137"/>
  <c r="O136"/>
  <c r="N136"/>
  <c r="M136"/>
  <c r="L136"/>
  <c r="I136"/>
  <c r="D136"/>
  <c r="O135"/>
  <c r="N135"/>
  <c r="M135"/>
  <c r="L135"/>
  <c r="I135"/>
  <c r="D135"/>
  <c r="O134"/>
  <c r="N134"/>
  <c r="M134"/>
  <c r="L134"/>
  <c r="I134"/>
  <c r="D134"/>
  <c r="O133"/>
  <c r="N133"/>
  <c r="M133"/>
  <c r="L133"/>
  <c r="I133"/>
  <c r="D133"/>
  <c r="O132"/>
  <c r="N132"/>
  <c r="M132"/>
  <c r="L132"/>
  <c r="I132"/>
  <c r="D132"/>
  <c r="O131"/>
  <c r="N131"/>
  <c r="M131"/>
  <c r="L131"/>
  <c r="I131"/>
  <c r="D131"/>
  <c r="O130"/>
  <c r="N130"/>
  <c r="M130"/>
  <c r="L130"/>
  <c r="I130"/>
  <c r="D130"/>
  <c r="O129"/>
  <c r="N129"/>
  <c r="M129"/>
  <c r="L129"/>
  <c r="I129"/>
  <c r="D129"/>
  <c r="O128"/>
  <c r="N128"/>
  <c r="M128"/>
  <c r="L128"/>
  <c r="I128"/>
  <c r="D128"/>
  <c r="O127"/>
  <c r="N127"/>
  <c r="M127"/>
  <c r="L127"/>
  <c r="I127"/>
  <c r="D127"/>
  <c r="O126"/>
  <c r="N126"/>
  <c r="M126"/>
  <c r="L126"/>
  <c r="I126"/>
  <c r="D126"/>
  <c r="O125"/>
  <c r="N125"/>
  <c r="M125"/>
  <c r="L125"/>
  <c r="I125"/>
  <c r="D125"/>
  <c r="O124"/>
  <c r="N124"/>
  <c r="M124"/>
  <c r="L124"/>
  <c r="I124"/>
  <c r="D124"/>
  <c r="O123"/>
  <c r="N123"/>
  <c r="M123"/>
  <c r="L123"/>
  <c r="I123"/>
  <c r="D123"/>
  <c r="O122"/>
  <c r="N122"/>
  <c r="M122"/>
  <c r="L122"/>
  <c r="I122"/>
  <c r="D122"/>
  <c r="O121"/>
  <c r="N121"/>
  <c r="M121"/>
  <c r="L121"/>
  <c r="I121"/>
  <c r="D121"/>
  <c r="O120"/>
  <c r="N120"/>
  <c r="M120"/>
  <c r="L120"/>
  <c r="I120"/>
  <c r="D120"/>
  <c r="O119"/>
  <c r="N119"/>
  <c r="M119"/>
  <c r="L119"/>
  <c r="I119"/>
  <c r="D119"/>
  <c r="O118"/>
  <c r="N118"/>
  <c r="M118"/>
  <c r="L118"/>
  <c r="I118"/>
  <c r="D118"/>
  <c r="O117"/>
  <c r="N117"/>
  <c r="M117"/>
  <c r="L117"/>
  <c r="I117"/>
  <c r="D117"/>
  <c r="O116"/>
  <c r="N116"/>
  <c r="M116"/>
  <c r="L116"/>
  <c r="I116"/>
  <c r="D116"/>
  <c r="O115"/>
  <c r="N115"/>
  <c r="M115"/>
  <c r="L115"/>
  <c r="I115"/>
  <c r="D115"/>
  <c r="O114"/>
  <c r="N114"/>
  <c r="M114"/>
  <c r="L114"/>
  <c r="I114"/>
  <c r="D114"/>
  <c r="O113"/>
  <c r="N113"/>
  <c r="M113"/>
  <c r="L113"/>
  <c r="I113"/>
  <c r="D113"/>
  <c r="O112"/>
  <c r="N112"/>
  <c r="M112"/>
  <c r="L112"/>
  <c r="I112"/>
  <c r="D112"/>
  <c r="O111"/>
  <c r="N111"/>
  <c r="M111"/>
  <c r="L111"/>
  <c r="I111"/>
  <c r="D111"/>
  <c r="O110"/>
  <c r="N110"/>
  <c r="M110"/>
  <c r="L110"/>
  <c r="I110"/>
  <c r="D110"/>
  <c r="O109"/>
  <c r="N109"/>
  <c r="M109"/>
  <c r="L109"/>
  <c r="I109"/>
  <c r="D109"/>
  <c r="O108"/>
  <c r="N108"/>
  <c r="M108"/>
  <c r="L108"/>
  <c r="I108"/>
  <c r="D108"/>
  <c r="O107"/>
  <c r="N107"/>
  <c r="M107"/>
  <c r="L107"/>
  <c r="I107"/>
  <c r="D107"/>
  <c r="O106"/>
  <c r="N106"/>
  <c r="M106"/>
  <c r="L106"/>
  <c r="I106"/>
  <c r="D106"/>
  <c r="O105"/>
  <c r="N105"/>
  <c r="M105"/>
  <c r="L105"/>
  <c r="I105"/>
  <c r="D105"/>
  <c r="O104"/>
  <c r="N104"/>
  <c r="M104"/>
  <c r="L104"/>
  <c r="I104"/>
  <c r="D104"/>
  <c r="O103"/>
  <c r="N103"/>
  <c r="M103"/>
  <c r="L103"/>
  <c r="I103"/>
  <c r="D103"/>
  <c r="O102"/>
  <c r="N102"/>
  <c r="M102"/>
  <c r="L102"/>
  <c r="I102"/>
  <c r="D102"/>
  <c r="O101"/>
  <c r="N101"/>
  <c r="M101"/>
  <c r="L101"/>
  <c r="I101"/>
  <c r="D101"/>
  <c r="O100"/>
  <c r="N100"/>
  <c r="M100"/>
  <c r="L100"/>
  <c r="I100"/>
  <c r="D100"/>
  <c r="O99"/>
  <c r="N99"/>
  <c r="M99"/>
  <c r="L99"/>
  <c r="I99"/>
  <c r="D99"/>
  <c r="O98"/>
  <c r="N98"/>
  <c r="M98"/>
  <c r="L98"/>
  <c r="I98"/>
  <c r="D98"/>
  <c r="O97"/>
  <c r="N97"/>
  <c r="M97"/>
  <c r="L97"/>
  <c r="I97"/>
  <c r="D97"/>
  <c r="O96"/>
  <c r="N96"/>
  <c r="M96"/>
  <c r="L96"/>
  <c r="I96"/>
  <c r="D96"/>
  <c r="O95"/>
  <c r="N95"/>
  <c r="M95"/>
  <c r="L95"/>
  <c r="I95"/>
  <c r="D95"/>
  <c r="O94"/>
  <c r="N94"/>
  <c r="M94"/>
  <c r="L94"/>
  <c r="I94"/>
  <c r="D94"/>
  <c r="O93"/>
  <c r="N93"/>
  <c r="M93"/>
  <c r="L93"/>
  <c r="I93"/>
  <c r="D93"/>
  <c r="O92"/>
  <c r="N92"/>
  <c r="M92"/>
  <c r="L92"/>
  <c r="I92"/>
  <c r="D92"/>
  <c r="O91"/>
  <c r="N91"/>
  <c r="M91"/>
  <c r="L91"/>
  <c r="I91"/>
  <c r="D91"/>
  <c r="O90"/>
  <c r="N90"/>
  <c r="M90"/>
  <c r="L90"/>
  <c r="I90"/>
  <c r="D90"/>
  <c r="O89"/>
  <c r="N89"/>
  <c r="M89"/>
  <c r="L89"/>
  <c r="I89"/>
  <c r="D89"/>
  <c r="O88"/>
  <c r="N88"/>
  <c r="M88"/>
  <c r="L88"/>
  <c r="I88"/>
  <c r="D88"/>
  <c r="O87"/>
  <c r="N87"/>
  <c r="M87"/>
  <c r="L87"/>
  <c r="I87"/>
  <c r="D87"/>
  <c r="O86"/>
  <c r="N86"/>
  <c r="M86"/>
  <c r="L86"/>
  <c r="I86"/>
  <c r="D86"/>
  <c r="O85"/>
  <c r="N85"/>
  <c r="M85"/>
  <c r="L85"/>
  <c r="I85"/>
  <c r="D85"/>
  <c r="O84"/>
  <c r="N84"/>
  <c r="M84"/>
  <c r="L84"/>
  <c r="I84"/>
  <c r="D84"/>
  <c r="O83"/>
  <c r="N83"/>
  <c r="M83"/>
  <c r="L83"/>
  <c r="I83"/>
  <c r="D83"/>
  <c r="O82"/>
  <c r="N82"/>
  <c r="M82"/>
  <c r="L82"/>
  <c r="I82"/>
  <c r="D82"/>
  <c r="O81"/>
  <c r="N81"/>
  <c r="M81"/>
  <c r="L81"/>
  <c r="I81"/>
  <c r="D81"/>
  <c r="O80"/>
  <c r="N80"/>
  <c r="M80"/>
  <c r="L80"/>
  <c r="I80"/>
  <c r="D80"/>
  <c r="O79"/>
  <c r="N79"/>
  <c r="M79"/>
  <c r="L79"/>
  <c r="I79"/>
  <c r="D79"/>
  <c r="O78"/>
  <c r="N78"/>
  <c r="M78"/>
  <c r="L78"/>
  <c r="I78"/>
  <c r="D78"/>
  <c r="O77"/>
  <c r="N77"/>
  <c r="M77"/>
  <c r="L77"/>
  <c r="I77"/>
  <c r="D77"/>
  <c r="O76"/>
  <c r="N76"/>
  <c r="M76"/>
  <c r="L76"/>
  <c r="I76"/>
  <c r="D76"/>
  <c r="O75"/>
  <c r="N75"/>
  <c r="M75"/>
  <c r="L75"/>
  <c r="I75"/>
  <c r="D75"/>
  <c r="O74"/>
  <c r="N74"/>
  <c r="M74"/>
  <c r="L74"/>
  <c r="I74"/>
  <c r="D74"/>
  <c r="O73"/>
  <c r="N73"/>
  <c r="M73"/>
  <c r="L73"/>
  <c r="I73"/>
  <c r="D73"/>
  <c r="O72"/>
  <c r="N72"/>
  <c r="M72"/>
  <c r="L72"/>
  <c r="I72"/>
  <c r="D72"/>
  <c r="O71"/>
  <c r="N71"/>
  <c r="M71"/>
  <c r="L71"/>
  <c r="I71"/>
  <c r="D71"/>
  <c r="O70"/>
  <c r="N70"/>
  <c r="M70"/>
  <c r="L70"/>
  <c r="I70"/>
  <c r="D70"/>
  <c r="O69"/>
  <c r="N69"/>
  <c r="M69"/>
  <c r="L69"/>
  <c r="I69"/>
  <c r="D69"/>
  <c r="O68"/>
  <c r="N68"/>
  <c r="M68"/>
  <c r="L68"/>
  <c r="I68"/>
  <c r="D68"/>
  <c r="O67"/>
  <c r="N67"/>
  <c r="M67"/>
  <c r="L67"/>
  <c r="I67"/>
  <c r="D67"/>
  <c r="O66"/>
  <c r="N66"/>
  <c r="M66"/>
  <c r="L66"/>
  <c r="I66"/>
  <c r="D66"/>
  <c r="O65"/>
  <c r="N65"/>
  <c r="M65"/>
  <c r="L65"/>
  <c r="I65"/>
  <c r="D65"/>
  <c r="O64"/>
  <c r="N64"/>
  <c r="M64"/>
  <c r="L64"/>
  <c r="I64"/>
  <c r="D64"/>
  <c r="O63"/>
  <c r="N63"/>
  <c r="M63"/>
  <c r="L63"/>
  <c r="I63"/>
  <c r="D63"/>
  <c r="O62"/>
  <c r="N62"/>
  <c r="M62"/>
  <c r="L62"/>
  <c r="I62"/>
  <c r="D62"/>
  <c r="O61"/>
  <c r="N61"/>
  <c r="M61"/>
  <c r="L61"/>
  <c r="I61"/>
  <c r="D61"/>
  <c r="O60"/>
  <c r="N60"/>
  <c r="M60"/>
  <c r="L60"/>
  <c r="I60"/>
  <c r="D60"/>
  <c r="O59"/>
  <c r="N59"/>
  <c r="M59"/>
  <c r="L59"/>
  <c r="I59"/>
  <c r="D59"/>
  <c r="O58"/>
  <c r="N58"/>
  <c r="M58"/>
  <c r="L58"/>
  <c r="I58"/>
  <c r="D58"/>
  <c r="O57"/>
  <c r="N57"/>
  <c r="M57"/>
  <c r="L57"/>
  <c r="I57"/>
  <c r="D57"/>
  <c r="O56"/>
  <c r="N56"/>
  <c r="M56"/>
  <c r="L56"/>
  <c r="I56"/>
  <c r="D56"/>
  <c r="O55"/>
  <c r="N55"/>
  <c r="M55"/>
  <c r="L55"/>
  <c r="I55"/>
  <c r="D55"/>
  <c r="O54"/>
  <c r="N54"/>
  <c r="M54"/>
  <c r="L54"/>
  <c r="I54"/>
  <c r="D54"/>
  <c r="O53"/>
  <c r="N53"/>
  <c r="M53"/>
  <c r="L53"/>
  <c r="I53"/>
  <c r="D53"/>
  <c r="O52"/>
  <c r="N52"/>
  <c r="M52"/>
  <c r="L52"/>
  <c r="I52"/>
  <c r="D52"/>
  <c r="O51"/>
  <c r="N51"/>
  <c r="M51"/>
  <c r="L51"/>
  <c r="I51"/>
  <c r="D51"/>
  <c r="O50"/>
  <c r="N50"/>
  <c r="M50"/>
  <c r="L50"/>
  <c r="I50"/>
  <c r="D50"/>
  <c r="O49"/>
  <c r="N49"/>
  <c r="M49"/>
  <c r="L49"/>
  <c r="I49"/>
  <c r="D49"/>
  <c r="O48"/>
  <c r="N48"/>
  <c r="M48"/>
  <c r="L48"/>
  <c r="I48"/>
  <c r="D48"/>
  <c r="O47"/>
  <c r="N47"/>
  <c r="M47"/>
  <c r="L47"/>
  <c r="I47"/>
  <c r="D47"/>
  <c r="O46"/>
  <c r="N46"/>
  <c r="M46"/>
  <c r="L46"/>
  <c r="I46"/>
  <c r="D46"/>
  <c r="O45"/>
  <c r="N45"/>
  <c r="M45"/>
  <c r="L45"/>
  <c r="I45"/>
  <c r="D45"/>
  <c r="O44"/>
  <c r="N44"/>
  <c r="M44"/>
  <c r="L44"/>
  <c r="I44"/>
  <c r="D44"/>
  <c r="O43"/>
  <c r="N43"/>
  <c r="M43"/>
  <c r="L43"/>
  <c r="I43"/>
  <c r="D43"/>
  <c r="O42"/>
  <c r="N42"/>
  <c r="M42"/>
  <c r="L42"/>
  <c r="I42"/>
  <c r="D42"/>
  <c r="O41"/>
  <c r="N41"/>
  <c r="M41"/>
  <c r="L41"/>
  <c r="I41"/>
  <c r="D41"/>
  <c r="O40"/>
  <c r="N40"/>
  <c r="M40"/>
  <c r="L40"/>
  <c r="I40"/>
  <c r="D40"/>
  <c r="O39"/>
  <c r="N39"/>
  <c r="M39"/>
  <c r="L39"/>
  <c r="I39"/>
  <c r="D39"/>
  <c r="O38"/>
  <c r="N38"/>
  <c r="M38"/>
  <c r="L38"/>
  <c r="I38"/>
  <c r="D38"/>
  <c r="O37"/>
  <c r="N37"/>
  <c r="M37"/>
  <c r="L37"/>
  <c r="I37"/>
  <c r="D37"/>
  <c r="O36"/>
  <c r="N36"/>
  <c r="M36"/>
  <c r="L36"/>
  <c r="I36"/>
  <c r="D36"/>
  <c r="O35"/>
  <c r="N35"/>
  <c r="M35"/>
  <c r="L35"/>
  <c r="I35"/>
  <c r="D35"/>
  <c r="O34"/>
  <c r="N34"/>
  <c r="M34"/>
  <c r="L34"/>
  <c r="I34"/>
  <c r="D34"/>
  <c r="O33"/>
  <c r="N33"/>
  <c r="M33"/>
  <c r="L33"/>
  <c r="I33"/>
  <c r="D33"/>
  <c r="O32"/>
  <c r="N32"/>
  <c r="M32"/>
  <c r="L32"/>
  <c r="I32"/>
  <c r="D32"/>
  <c r="O31"/>
  <c r="N31"/>
  <c r="M31"/>
  <c r="L31"/>
  <c r="I31"/>
  <c r="D31"/>
  <c r="O30"/>
  <c r="N30"/>
  <c r="M30"/>
  <c r="L30"/>
  <c r="I30"/>
  <c r="D30"/>
  <c r="O29"/>
  <c r="N29"/>
  <c r="M29"/>
  <c r="L29"/>
  <c r="I29"/>
  <c r="D29"/>
  <c r="O28"/>
  <c r="N28"/>
  <c r="M28"/>
  <c r="L28"/>
  <c r="I28"/>
  <c r="D28"/>
  <c r="O27"/>
  <c r="N27"/>
  <c r="M27"/>
  <c r="L27"/>
  <c r="I27"/>
  <c r="D27"/>
  <c r="O26"/>
  <c r="N26"/>
  <c r="M26"/>
  <c r="L26"/>
  <c r="I26"/>
  <c r="D26"/>
  <c r="O25"/>
  <c r="N25"/>
  <c r="M25"/>
  <c r="L25"/>
  <c r="I25"/>
  <c r="D25"/>
  <c r="O24"/>
  <c r="N24"/>
  <c r="M24"/>
  <c r="L24"/>
  <c r="I24"/>
  <c r="D24"/>
  <c r="O23"/>
  <c r="N23"/>
  <c r="M23"/>
  <c r="L23"/>
  <c r="I23"/>
  <c r="D23"/>
  <c r="O22"/>
  <c r="N22"/>
  <c r="M22"/>
  <c r="L22"/>
  <c r="I22"/>
  <c r="D22"/>
  <c r="M21"/>
  <c r="L21"/>
  <c r="I21"/>
  <c r="D21"/>
  <c r="M17"/>
  <c r="L17"/>
  <c r="I17"/>
  <c r="D17"/>
  <c r="M16"/>
  <c r="L16"/>
  <c r="I16"/>
  <c r="D16"/>
  <c r="M15"/>
  <c r="L15"/>
  <c r="I15"/>
  <c r="D15"/>
  <c r="M14"/>
  <c r="L14"/>
  <c r="I14"/>
  <c r="D14"/>
  <c r="M13"/>
  <c r="L13"/>
  <c r="I13"/>
  <c r="D13"/>
  <c r="M12"/>
  <c r="L12"/>
  <c r="I12"/>
  <c r="D12"/>
  <c r="M11"/>
  <c r="L11"/>
  <c r="I11"/>
  <c r="D11"/>
  <c r="M10"/>
  <c r="L10"/>
  <c r="I10"/>
  <c r="D10"/>
  <c r="M9"/>
  <c r="L9"/>
  <c r="I9"/>
  <c r="D9"/>
  <c r="M8"/>
  <c r="L8"/>
  <c r="I8"/>
  <c r="D8"/>
  <c r="M7"/>
  <c r="L7"/>
  <c r="I7"/>
  <c r="D7"/>
  <c r="M6"/>
  <c r="L6"/>
  <c r="I6"/>
  <c r="D6"/>
  <c r="M5"/>
  <c r="L5"/>
  <c r="I5"/>
  <c r="D5"/>
  <c r="M4"/>
  <c r="L4"/>
  <c r="I4"/>
  <c r="D4"/>
  <c r="M3"/>
  <c r="L3"/>
  <c r="I3"/>
  <c r="D3"/>
  <c r="M2"/>
  <c r="L2"/>
  <c r="I2"/>
  <c r="H1"/>
  <c r="G1"/>
  <c r="F1"/>
  <c r="E1"/>
  <c r="D17" i="2"/>
  <c r="P13" i="7" s="1"/>
  <c r="C17" i="2"/>
  <c r="O13" i="7" s="1"/>
  <c r="B17" i="2"/>
  <c r="N13" i="7" s="1"/>
  <c r="D16" i="2"/>
  <c r="P12" i="7" s="1"/>
  <c r="C16" i="2"/>
  <c r="O12" i="7" s="1"/>
  <c r="B16" i="2"/>
  <c r="D15"/>
  <c r="P11" i="7" s="1"/>
  <c r="C15" i="2"/>
  <c r="O11" i="7" s="1"/>
  <c r="B15" i="2"/>
  <c r="N11" i="7" s="1"/>
  <c r="F13" i="2"/>
  <c r="R9" i="7" s="1"/>
  <c r="D13" i="2"/>
  <c r="P9" i="7" s="1"/>
  <c r="C13" i="2"/>
  <c r="O9" i="7" s="1"/>
  <c r="B13" i="2"/>
  <c r="N9" i="7" s="1"/>
  <c r="F12" i="2"/>
  <c r="R8" i="7" s="1"/>
  <c r="D12" i="2"/>
  <c r="P8" i="7" s="1"/>
  <c r="C12" i="2"/>
  <c r="O8" i="7" s="1"/>
  <c r="B12" i="2"/>
  <c r="F11"/>
  <c r="R7" i="7" s="1"/>
  <c r="D11" i="2"/>
  <c r="P7" i="7" s="1"/>
  <c r="C11" i="2"/>
  <c r="O7" i="7" s="1"/>
  <c r="B11" i="2"/>
  <c r="N7" i="7" s="1"/>
  <c r="F10" i="2"/>
  <c r="R6" i="7" s="1"/>
  <c r="D10" i="2"/>
  <c r="P6" i="7" s="1"/>
  <c r="C10" i="2"/>
  <c r="O6" i="7" s="1"/>
  <c r="B10" i="2"/>
  <c r="N6" i="7" s="1"/>
  <c r="F9" i="2"/>
  <c r="R5" i="7" s="1"/>
  <c r="D9" i="2"/>
  <c r="P5" i="7" s="1"/>
  <c r="C9" i="2"/>
  <c r="O5" i="7" s="1"/>
  <c r="B9" i="2"/>
  <c r="N5" i="7" s="1"/>
  <c r="F8" i="2"/>
  <c r="R4" i="7" s="1"/>
  <c r="D8" i="2"/>
  <c r="P4" i="7" s="1"/>
  <c r="C8" i="2"/>
  <c r="O4" i="7" s="1"/>
  <c r="B8" i="2"/>
  <c r="N4" i="7" s="1"/>
  <c r="F7" i="2"/>
  <c r="R3" i="7" s="1"/>
  <c r="D7" i="2"/>
  <c r="P3" i="7" s="1"/>
  <c r="C7" i="2"/>
  <c r="O3" i="7" s="1"/>
  <c r="B7" i="2"/>
  <c r="F6"/>
  <c r="R2" i="7" s="1"/>
  <c r="D6" i="2"/>
  <c r="P2" i="7" s="1"/>
  <c r="C6" i="2"/>
  <c r="B6"/>
  <c r="N2" i="7" s="1"/>
  <c r="H16" i="1"/>
  <c r="P2" i="4" l="1"/>
  <c r="N21" i="3"/>
  <c r="B16" i="1"/>
  <c r="O21" i="3"/>
  <c r="C16" i="1"/>
  <c r="O10" i="3"/>
  <c r="N20"/>
  <c r="C14" i="2"/>
  <c r="O10" i="7" s="1"/>
  <c r="O20" i="3"/>
  <c r="O19"/>
  <c r="O9"/>
  <c r="O11"/>
  <c r="O13"/>
  <c r="O15"/>
  <c r="N19"/>
  <c r="O18"/>
  <c r="O12"/>
  <c r="O14"/>
  <c r="N18"/>
  <c r="O17"/>
  <c r="N14"/>
  <c r="N16"/>
  <c r="N11"/>
  <c r="N15"/>
  <c r="N9"/>
  <c r="N12"/>
  <c r="O16"/>
  <c r="N10"/>
  <c r="N17"/>
  <c r="N13"/>
  <c r="O8"/>
  <c r="N8"/>
  <c r="N7"/>
  <c r="O7"/>
  <c r="N6"/>
  <c r="O6"/>
  <c r="N5"/>
  <c r="O5"/>
  <c r="F14" i="2"/>
  <c r="R10" i="7" s="1"/>
  <c r="F17" i="2"/>
  <c r="R13" i="7" s="1"/>
  <c r="N2" i="3"/>
  <c r="N4"/>
  <c r="B23" i="5"/>
  <c r="B18"/>
  <c r="K11" i="7" s="1"/>
  <c r="B14" i="2"/>
  <c r="B18" s="1"/>
  <c r="B10" i="5"/>
  <c r="K3" i="7" s="1"/>
  <c r="E9" i="2"/>
  <c r="Q5" i="7" s="1"/>
  <c r="B9" i="5"/>
  <c r="K2" i="7" s="1"/>
  <c r="E16" i="2"/>
  <c r="Q12" i="7" s="1"/>
  <c r="F15" i="2"/>
  <c r="R11" i="7" s="1"/>
  <c r="B12" i="5"/>
  <c r="K5" i="7" s="1"/>
  <c r="E11" i="2"/>
  <c r="Q7" i="7" s="1"/>
  <c r="B16" i="5"/>
  <c r="K9" i="7" s="1"/>
  <c r="B24" i="5"/>
  <c r="E17" i="2"/>
  <c r="Q13" i="7" s="1"/>
  <c r="O2" i="3"/>
  <c r="O4"/>
  <c r="B14" i="5"/>
  <c r="K7" i="7" s="1"/>
  <c r="B22" i="5"/>
  <c r="N3" i="3"/>
  <c r="B13" i="5"/>
  <c r="K6" i="7" s="1"/>
  <c r="E6" i="2"/>
  <c r="Q2" i="7" s="1"/>
  <c r="E12" i="2"/>
  <c r="Q8" i="7" s="1"/>
  <c r="F16" i="2"/>
  <c r="R12" i="7" s="1"/>
  <c r="B6" i="5"/>
  <c r="B17"/>
  <c r="K10" i="7" s="1"/>
  <c r="E7" i="2"/>
  <c r="Q3" i="7" s="1"/>
  <c r="E15" i="2"/>
  <c r="Q11" i="7" s="1"/>
  <c r="O3" i="3"/>
  <c r="B5" i="5"/>
  <c r="B28" s="1"/>
  <c r="B11"/>
  <c r="K4" i="7" s="1"/>
  <c r="B15" i="5"/>
  <c r="K8" i="7" s="1"/>
  <c r="B21" i="5"/>
  <c r="O2" i="7"/>
  <c r="N3"/>
  <c r="E10" i="2"/>
  <c r="Q6" i="7" s="1"/>
  <c r="B29" i="5"/>
  <c r="N12" i="7"/>
  <c r="E13" i="2"/>
  <c r="Q9" i="7" s="1"/>
  <c r="E8" i="2"/>
  <c r="Q4" i="7" s="1"/>
  <c r="N8"/>
  <c r="D14" i="2"/>
  <c r="P10" i="7" s="1"/>
  <c r="D16" i="1" l="1"/>
  <c r="N10" i="7"/>
  <c r="C18" i="2"/>
  <c r="E16" i="1"/>
  <c r="F18" i="2"/>
  <c r="B30" i="5"/>
  <c r="A12" i="1" s="1"/>
  <c r="E3" i="7"/>
  <c r="D6" i="1"/>
  <c r="B25" i="5"/>
  <c r="D9" i="1" s="1"/>
  <c r="B19" i="5"/>
  <c r="H3" i="7" s="1"/>
  <c r="G9" i="1"/>
  <c r="E14" i="2"/>
  <c r="Q10" i="7" s="1"/>
  <c r="D18" i="2"/>
  <c r="B7" i="5"/>
  <c r="A6" i="1"/>
  <c r="E2" i="7"/>
  <c r="A9" i="1" l="1"/>
  <c r="H4" i="7"/>
  <c r="B31" i="5"/>
  <c r="D12" i="1" s="1"/>
  <c r="E18" i="2"/>
  <c r="B33" i="5"/>
  <c r="G12" i="1" s="1"/>
  <c r="H2" i="7"/>
  <c r="G6" i="1"/>
  <c r="E4" i="7"/>
</calcChain>
</file>

<file path=xl/sharedStrings.xml><?xml version="1.0" encoding="utf-8"?>
<sst xmlns="http://schemas.openxmlformats.org/spreadsheetml/2006/main" count="133" uniqueCount="84">
  <si>
    <t>CONIC — MONTHLY DASHBOARD</t>
  </si>
  <si>
    <t>Month</t>
  </si>
  <si>
    <t>September</t>
  </si>
  <si>
    <t>Year</t>
  </si>
  <si>
    <t>Online Sales</t>
  </si>
  <si>
    <t>Cash Sales</t>
  </si>
  <si>
    <t>Total Sales</t>
  </si>
  <si>
    <t>Total Purchases</t>
  </si>
  <si>
    <t>Total Expenses</t>
  </si>
  <si>
    <t>Online Balance</t>
  </si>
  <si>
    <t>Cash Balance</t>
  </si>
  <si>
    <t>Total Balance</t>
  </si>
  <si>
    <t>Net Amount</t>
  </si>
  <si>
    <t>Latest Day</t>
  </si>
  <si>
    <t>Sales</t>
  </si>
  <si>
    <t>Expenses</t>
  </si>
  <si>
    <t>Net</t>
  </si>
  <si>
    <t>Balance</t>
  </si>
  <si>
    <t>Latest Date</t>
  </si>
  <si>
    <t>Latest-day figures come from the most recent dated entry inside the selected month.</t>
  </si>
  <si>
    <t>CONIC — YEARLY DASHBOARD</t>
  </si>
  <si>
    <t>Closing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</si>
  <si>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</si>
  <si>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</si>
  <si>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</si>
  <si>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</si>
  <si>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</si>
  <si>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</si>
  <si>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</si>
  <si>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</si>
  <si>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</si>
  <si>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</si>
  <si>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</si>
  <si>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YEAR TOTAL</t>
  </si>
  <si>
    <t>Date</t>
  </si>
  <si>
    <t>Expense Paid Online</t>
  </si>
  <si>
    <t>Expense Paid Cash</t>
  </si>
  <si>
    <t>Daily Net Amount</t>
  </si>
  <si>
    <t>Notes</t>
  </si>
  <si>
    <t>Purchase Date</t>
  </si>
  <si>
    <t>Payment Date</t>
  </si>
  <si>
    <t>Total Weekly Purchase</t>
  </si>
  <si>
    <t>Online Purchase Paid</t>
  </si>
  <si>
    <t>Cash Purchase Paid</t>
  </si>
  <si>
    <t>Pending Purchase</t>
  </si>
  <si>
    <t>CONIC — MONTHLY SUMMARY</t>
  </si>
  <si>
    <t>Selected Month</t>
  </si>
  <si>
    <t>Select Month and Year on the Monthly Dashboard.</t>
  </si>
  <si>
    <t>ONLINE SALES</t>
  </si>
  <si>
    <t>CASH SALES</t>
  </si>
  <si>
    <t>TOTAL SALES</t>
  </si>
  <si>
    <t>PURCHASES</t>
  </si>
  <si>
    <t>Total Purchase</t>
  </si>
  <si>
    <t>EXPENSES</t>
  </si>
  <si>
    <t>Police</t>
  </si>
  <si>
    <t>Shop</t>
  </si>
  <si>
    <t>Transport</t>
  </si>
  <si>
    <t>Other</t>
  </si>
  <si>
    <t>BALANCES</t>
  </si>
  <si>
    <t>Opening Online Balance</t>
  </si>
  <si>
    <t>Closing Online Balance</t>
  </si>
  <si>
    <t>Opening Cash Balance</t>
  </si>
  <si>
    <t>Closing Cash Balance</t>
  </si>
  <si>
    <t>Total Closing Balance</t>
  </si>
  <si>
    <t>BUSINESS RESULT</t>
  </si>
  <si>
    <t>CONIC — SETTINGS</t>
  </si>
  <si>
    <t>Vendor Master List</t>
  </si>
  <si>
    <t>Expense Categories</t>
  </si>
  <si>
    <t>RawDawg</t>
  </si>
  <si>
    <t>Fetch</t>
  </si>
  <si>
    <t>Nord</t>
  </si>
  <si>
    <t>Belucci</t>
  </si>
  <si>
    <t>FoolHardy</t>
  </si>
  <si>
    <t>Core</t>
  </si>
  <si>
    <t>Dexer</t>
  </si>
  <si>
    <t>Nordich</t>
  </si>
  <si>
    <t>Never</t>
  </si>
  <si>
    <t>Ozaro</t>
  </si>
  <si>
    <t>MonthList</t>
  </si>
  <si>
    <t>YearList</t>
  </si>
  <si>
    <t>Metric</t>
  </si>
  <si>
    <t>Amount</t>
  </si>
  <si>
    <t>Vendor</t>
  </si>
  <si>
    <t>Purchases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</si>
</sst>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\₹\ #,##0"/>
    <numFmt numFmtId="166" formatCode="mmm\-yyyy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22313F"/>
      <name val="Carlito"/>
    </font>
    <font>
      <sz val="11"/>
      <color rgb="FF22313F"/>
      <name val="Carlito"/>
    </font>
    <font>
      <i/>
      <sz val="11"/>
      <color rgb="FF22313F"/>
      <name val="Carlito"/>
    </font>
    <font>
      <b/>
      <sz val="18"/>
      <color rgb="FFFFFFFF"/>
      <name val="Carlito"/>
    </font>
    <font>
      <b/>
      <sz val="14"/>
      <color rgb="FF22313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5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164" fontId="0" fillId="5" borderId="0" xfId="0" applyNumberFormat="1" applyFont="1" applyFill="1" applyBorder="1"/>
    <xf numFmtId="165" fontId="0" fillId="5" borderId="0" xfId="0" applyNumberFormat="1" applyFont="1" applyFill="1" applyBorder="1"/>
    <xf numFmtId="165" fontId="4" fillId="6" borderId="0" xfId="0" applyNumberFormat="1" applyFont="1" applyFill="1" applyBorder="1"/>
    <xf numFmtId="0" fontId="1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vertical="center"/>
    </xf>
    <xf numFmtId="0" fontId="3" fillId="7" borderId="0" xfId="0" applyNumberFormat="1" applyFont="1" applyFill="1" applyBorder="1" applyAlignment="1">
      <alignment vertical="center"/>
    </xf>
    <xf numFmtId="164" fontId="0" fillId="5" borderId="0" xfId="0" applyNumberFormat="1" applyFont="1" applyFill="1" applyBorder="1" applyAlignment="1">
      <alignment vertical="center"/>
    </xf>
    <xf numFmtId="165" fontId="0" fillId="5" borderId="0" xfId="0" applyNumberFormat="1" applyFont="1" applyFill="1" applyBorder="1" applyAlignment="1">
      <alignment vertical="center"/>
    </xf>
    <xf numFmtId="0" fontId="0" fillId="5" borderId="0" xfId="0" applyNumberFormat="1" applyFont="1" applyFill="1" applyBorder="1" applyAlignment="1">
      <alignment vertical="center"/>
    </xf>
    <xf numFmtId="166" fontId="3" fillId="3" borderId="0" xfId="0" applyNumberFormat="1" applyFont="1" applyFill="1" applyBorder="1" applyAlignment="1">
      <alignment vertical="center"/>
    </xf>
    <xf numFmtId="165" fontId="3" fillId="7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65" fontId="1" fillId="4" borderId="0" xfId="0" applyNumberFormat="1" applyFont="1" applyFill="1" applyBorder="1" applyAlignment="1">
      <alignment vertical="center"/>
    </xf>
    <xf numFmtId="165" fontId="3" fillId="3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7">
    <dxf>
      <font>
        <b/>
        <color rgb="FFC00000"/>
      </font>
    </dxf>
    <dxf>
      <fill>
        <patternFill patternType="solid">
          <bgColor rgb="FFFDE2E1"/>
        </patternFill>
      </fill>
    </dxf>
    <dxf>
      <numFmt numFmtId="165" formatCode="\₹\ #,##0"/>
    </dxf>
    <dxf>
      <fill>
        <patternFill patternType="solid">
          <bgColor rgb="FFFCE4D6"/>
        </patternFill>
      </fill>
    </dxf>
    <dxf>
      <fill>
        <patternFill patternType="solid">
          <bgColor rgb="FFFDE2E1"/>
        </patternFill>
      </fill>
    </dxf>
    <dxf>
      <fill>
        <patternFill patternType="solid">
          <bgColor rgb="FFFDE2E1"/>
        </patternFill>
      </fill>
    </dxf>
    <dxf>
      <font>
        <b/>
        <color rgb="FFC00000"/>
      </font>
    </dxf>
    <dxf>
      <fill>
        <patternFill patternType="solid">
          <bgColor rgb="FFFDE2E1"/>
        </patternFill>
      </fill>
    </dxf>
    <dxf>
      <font>
        <b/>
        <color rgb="FFC00000"/>
      </font>
    </dxf>
    <dxf>
      <fill>
        <patternFill patternType="solid">
          <bgColor rgb="FFFDE2E1"/>
        </patternFill>
      </fill>
    </dxf>
    <dxf>
      <font>
        <b/>
        <color rgb="FFC00000"/>
      </font>
    </dxf>
    <dxf>
      <fill>
        <patternFill patternType="solid">
          <bgColor rgb="FFFDE2E1"/>
        </patternFill>
      </fill>
    </dxf>
    <dxf>
      <fill>
        <patternFill patternType="solid">
          <bgColor rgb="FFFDE2E1"/>
        </patternFill>
      </fill>
    </dxf>
    <dxf>
      <font>
        <b/>
        <color rgb="FFC00000"/>
      </font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DE2E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Online vs Cash Sales</a:t>
            </a:r>
          </a:p>
        </c:rich>
      </c:tx>
      <c:layout/>
    </c:title>
    <c:plotArea>
      <c:layout/>
      <c:pieChart>
        <c:ser>
          <c:idx val="0"/>
          <c:order val="0"/>
          <c:tx>
            <c:v>Amount</c:v>
          </c:tx>
          <c:dPt>
            <c:idx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chemeClr val="accent5">
                  <a:lumMod val="75000"/>
                </a:schemeClr>
              </a:solidFill>
            </c:spPr>
          </c:dPt>
          <c:cat>
            <c:strRef>
              <c:f>Calc!$D$2:$D$3</c:f>
              <c:strCache>
                <c:ptCount val="2"/>
                <c:pt idx="0">
                  <c:v>Online Sales</c:v>
                </c:pt>
                <c:pt idx="1">
                  <c:v>Cash Sales</c:v>
                </c:pt>
              </c:strCache>
            </c:strRef>
          </c:cat>
          <c:val>
            <c:numRef>
              <c:f>Calc!$E$2:$E$3</c:f>
              <c:numCache>
                <c:formatCode>General</c:formatCode>
                <c:ptCount val="2"/>
                <c:pt idx="0">
                  <c:v>226284</c:v>
                </c:pt>
                <c:pt idx="1">
                  <c:v>18570</c:v>
                </c:pt>
              </c:numCache>
            </c:numRef>
          </c:val>
        </c:ser>
        <c:firstSliceAng val="0"/>
      </c:pieChart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vs Purchases vs Expenses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Amount</c:v>
          </c:tx>
          <c:cat>
            <c:strRef>
              <c:f>Calc!$G$2:$G$4</c:f>
              <c:strCache>
                <c:ptCount val="3"/>
                <c:pt idx="0">
                  <c:v>Sales</c:v>
                </c:pt>
                <c:pt idx="1">
                  <c:v>Purchases</c:v>
                </c:pt>
                <c:pt idx="2">
                  <c:v>Expenses</c:v>
                </c:pt>
              </c:strCache>
            </c:strRef>
          </c:cat>
          <c:val>
            <c:numRef>
              <c:f>Calc!$H$2:$H$4</c:f>
              <c:numCache>
                <c:formatCode>General</c:formatCode>
                <c:ptCount val="3"/>
                <c:pt idx="0">
                  <c:v>244854</c:v>
                </c:pt>
                <c:pt idx="1">
                  <c:v>193826</c:v>
                </c:pt>
                <c:pt idx="2">
                  <c:v>23242</c:v>
                </c:pt>
              </c:numCache>
            </c:numRef>
          </c:val>
        </c:ser>
        <c:axId val="88192128"/>
        <c:axId val="88194048"/>
      </c:barChart>
      <c:catAx>
        <c:axId val="8819212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88194048"/>
        <c:crosses val="autoZero"/>
        <c:lblAlgn val="ctr"/>
        <c:lblOffset val="100"/>
      </c:catAx>
      <c:valAx>
        <c:axId val="88194048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88192128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Vendor Wise Purchases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Purchases</c:v>
          </c:tx>
          <c:cat>
            <c:strRef>
              <c:f>Calc!$J$2:$J$11</c:f>
              <c:strCache>
                <c:ptCount val="10"/>
                <c:pt idx="0">
                  <c:v>RawDawg</c:v>
                </c:pt>
                <c:pt idx="1">
                  <c:v>Fetch</c:v>
                </c:pt>
                <c:pt idx="2">
                  <c:v>Nord</c:v>
                </c:pt>
                <c:pt idx="3">
                  <c:v>Belucci</c:v>
                </c:pt>
                <c:pt idx="4">
                  <c:v>FoolHardy</c:v>
                </c:pt>
                <c:pt idx="5">
                  <c:v>Core</c:v>
                </c:pt>
                <c:pt idx="6">
                  <c:v>Dexer</c:v>
                </c:pt>
                <c:pt idx="7">
                  <c:v>Nordich</c:v>
                </c:pt>
                <c:pt idx="8">
                  <c:v>Never</c:v>
                </c:pt>
                <c:pt idx="9">
                  <c:v>Ozaro</c:v>
                </c:pt>
              </c:strCache>
            </c:strRef>
          </c:cat>
          <c:val>
            <c:numRef>
              <c:f>Calc!$K$2:$K$11</c:f>
              <c:numCache>
                <c:formatCode>General</c:formatCode>
                <c:ptCount val="10"/>
                <c:pt idx="0">
                  <c:v>64049</c:v>
                </c:pt>
                <c:pt idx="1">
                  <c:v>95077</c:v>
                </c:pt>
                <c:pt idx="2">
                  <c:v>0</c:v>
                </c:pt>
                <c:pt idx="3">
                  <c:v>26500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8200</c:v>
                </c:pt>
              </c:numCache>
            </c:numRef>
          </c:val>
        </c:ser>
        <c:axId val="95988736"/>
        <c:axId val="106259200"/>
      </c:barChart>
      <c:catAx>
        <c:axId val="95988736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6259200"/>
        <c:crosses val="autoZero"/>
        <c:lblAlgn val="ctr"/>
        <c:lblOffset val="100"/>
      </c:catAx>
      <c:valAx>
        <c:axId val="106259200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95988736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Total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244854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91532672"/>
        <c:axId val="98886784"/>
      </c:lineChart>
      <c:catAx>
        <c:axId val="91532672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98886784"/>
        <c:crosses val="autoZero"/>
        <c:lblAlgn val="ctr"/>
        <c:lblOffset val="100"/>
      </c:catAx>
      <c:valAx>
        <c:axId val="98886784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91532672"/>
        <c:crosses val="autoZero"/>
        <c:crossBetween val="between"/>
      </c:valAx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Total Purchases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244854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Purchases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Calc!$O$2:$O$13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193826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106210816"/>
        <c:axId val="106212352"/>
      </c:lineChart>
      <c:catAx>
        <c:axId val="106210816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6212352"/>
        <c:crosses val="autoZero"/>
        <c:lblAlgn val="ctr"/>
        <c:lblOffset val="100"/>
      </c:catAx>
      <c:valAx>
        <c:axId val="106212352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6210816"/>
        <c:crosses val="autoZero"/>
        <c:crossBetween val="between"/>
      </c:valAx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Total Expenses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244854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Purchases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Calc!$O$2:$O$13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193826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Expenses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Calc!$P$2:$P$13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23242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106226048"/>
        <c:axId val="106227584"/>
      </c:lineChart>
      <c:catAx>
        <c:axId val="10622604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6227584"/>
        <c:crosses val="autoZero"/>
        <c:lblAlgn val="ctr"/>
        <c:lblOffset val="100"/>
      </c:catAx>
      <c:valAx>
        <c:axId val="106227584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6226048"/>
        <c:crosses val="autoZero"/>
        <c:crossBetween val="between"/>
      </c:valAx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Net Amount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244854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Purchases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Calc!$O$2:$O$13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193826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Expenses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Calc!$P$2:$P$13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23242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Net Amount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Calc!$Q$2:$Q$13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27786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108613632"/>
        <c:axId val="108615168"/>
      </c:lineChart>
      <c:catAx>
        <c:axId val="108613632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8615168"/>
        <c:crosses val="autoZero"/>
        <c:lblAlgn val="ctr"/>
        <c:lblOffset val="100"/>
      </c:catAx>
      <c:valAx>
        <c:axId val="108615168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8613632"/>
        <c:crosses val="autoZero"/>
        <c:crossBetween val="between"/>
      </c:valAx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Closing Balance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244854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Purchases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Calc!$O$2:$O$13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193826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Expenses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Calc!$P$2:$P$13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23242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Net Amount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Calc!$Q$2:$Q$13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27786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v>Closing Balance</c:v>
          </c:tx>
          <c:marker>
            <c:symbol val="none"/>
          </c:marker>
          <c:cat>
            <c:strRef>
              <c:f>Calc!$M$2:$M$13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Calc!$R$2:$R$13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27786</c:v>
                </c:pt>
                <c:pt idx="9">
                  <c:v>27786</c:v>
                </c:pt>
                <c:pt idx="10">
                  <c:v>27786</c:v>
                </c:pt>
                <c:pt idx="11">
                  <c:v>27786</c:v>
                </c:pt>
              </c:numCache>
            </c:numRef>
          </c:val>
        </c:ser>
        <c:marker val="1"/>
        <c:axId val="108650880"/>
        <c:axId val="108652416"/>
      </c:lineChart>
      <c:catAx>
        <c:axId val="108650880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8652416"/>
        <c:crosses val="autoZero"/>
        <c:lblAlgn val="ctr"/>
        <c:lblOffset val="100"/>
      </c:catAx>
      <c:valAx>
        <c:axId val="108652416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8650880"/>
        <c:crosses val="autoZero"/>
        <c:crossBetween val="between"/>
      </c:valAx>
    </c:plotArea>
    <c:legend>
      <c:legendPos val="b"/>
      <c:layout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0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0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SalesExpensesTable" displayName="DailySalesExpensesTable" ref="A1:P495" totalsRowShown="0">
  <tableColumns count="16">
    <tableColumn id="1" name="Date"/>
    <tableColumn id="2" name="Online Sales"/>
    <tableColumn id="3" name="Cash Sales"/>
    <tableColumn id="4" name="Total Sales"/>
    <tableColumn id="5" name="Police"/>
    <tableColumn id="6" name="Shop"/>
    <tableColumn id="7" name="Transport"/>
    <tableColumn id="8" name="Other"/>
    <tableColumn id="9" name="Total Expenses"/>
    <tableColumn id="10" name="Expense Paid Online"/>
    <tableColumn id="11" name="Expense Paid Cash"/>
    <tableColumn id="12" name="Online Balance"/>
    <tableColumn id="13" name="Cash Balance"/>
    <tableColumn id="14" name="Total Balance"/>
    <tableColumn id="15" name="Daily Net Amount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PurchasesTable" displayName="WeeklyPurchasesTable" ref="A1:P503" totalsRowShown="0">
  <tableColumns count="16">
    <tableColumn id="1" name="Purchase Date"/>
    <tableColumn id="2" name="Payment Date"/>
    <tableColumn id="3" name="RawDawg"/>
    <tableColumn id="4" name="Fetch"/>
    <tableColumn id="5" name="Nord"/>
    <tableColumn id="6" name="Belucci"/>
    <tableColumn id="7" name="FoolHardy"/>
    <tableColumn id="8" name="Core"/>
    <tableColumn id="9" name="Dexer"/>
    <tableColumn id="10" name="Nordich"/>
    <tableColumn id="11" name="Never"/>
    <tableColumn id="12" name="Ozaro"/>
    <tableColumn id="13" name="Total Weekly Purchase"/>
    <tableColumn id="14" name="Online Purchase Paid" dataDxfId="2">
      <calculatedColumnFormula>IF($A2="","",SUM($C2:$L2))</calculatedColumnFormula>
    </tableColumn>
    <tableColumn id="15" name="Cash Purchase Paid"/>
    <tableColumn id="16" name="Pending Purc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>
      <selection activeCell="B16" sqref="B16"/>
    </sheetView>
  </sheetViews>
  <sheetFormatPr defaultRowHeight="13.8"/>
  <cols>
    <col min="1" max="5" width="16" customWidth="1"/>
    <col min="6" max="6" width="3" customWidth="1"/>
    <col min="7" max="8" width="16" customWidth="1"/>
  </cols>
  <sheetData>
    <row r="1" spans="1:21" ht="22.8">
      <c r="A1" s="25" t="s">
        <v>0</v>
      </c>
      <c r="B1" s="25"/>
      <c r="C1" s="25"/>
      <c r="D1" s="25"/>
      <c r="E1" s="25"/>
      <c r="F1" s="25"/>
      <c r="G1" s="25"/>
      <c r="H1" s="2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1" t="s">
        <v>1</v>
      </c>
      <c r="B3" s="11" t="s">
        <v>2</v>
      </c>
      <c r="C3" s="11" t="s">
        <v>3</v>
      </c>
      <c r="D3" s="11">
        <v>2026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26" t="s">
        <v>4</v>
      </c>
      <c r="B5" s="26"/>
      <c r="C5" s="10"/>
      <c r="D5" s="26" t="s">
        <v>5</v>
      </c>
      <c r="E5" s="26"/>
      <c r="F5" s="10"/>
      <c r="G5" s="26" t="s">
        <v>6</v>
      </c>
      <c r="H5" s="2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7.399999999999999">
      <c r="A6" s="27">
        <f>'Monthly Summary'!B5</f>
        <v>226284</v>
      </c>
      <c r="B6" s="27"/>
      <c r="C6" s="10"/>
      <c r="D6" s="27">
        <f>'Monthly Summary'!B6</f>
        <v>18570</v>
      </c>
      <c r="E6" s="27"/>
      <c r="F6" s="10"/>
      <c r="G6" s="27">
        <f>'Monthly Summary'!B7</f>
        <v>244854</v>
      </c>
      <c r="H6" s="2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26" t="s">
        <v>7</v>
      </c>
      <c r="B8" s="26"/>
      <c r="C8" s="10"/>
      <c r="D8" s="26" t="s">
        <v>8</v>
      </c>
      <c r="E8" s="26"/>
      <c r="F8" s="10"/>
      <c r="G8" s="26" t="s">
        <v>9</v>
      </c>
      <c r="H8" s="2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7.399999999999999">
      <c r="A9" s="27">
        <f>'Monthly Summary'!B19</f>
        <v>193826</v>
      </c>
      <c r="B9" s="27"/>
      <c r="C9" s="10"/>
      <c r="D9" s="27">
        <f>'Monthly Summary'!B25</f>
        <v>23242</v>
      </c>
      <c r="E9" s="27"/>
      <c r="F9" s="10"/>
      <c r="G9" s="27">
        <f>'Monthly Summary'!B28</f>
        <v>9216</v>
      </c>
      <c r="H9" s="2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26" t="s">
        <v>10</v>
      </c>
      <c r="B11" s="26"/>
      <c r="C11" s="10"/>
      <c r="D11" s="26" t="s">
        <v>11</v>
      </c>
      <c r="E11" s="26"/>
      <c r="F11" s="10"/>
      <c r="G11" s="26" t="s">
        <v>12</v>
      </c>
      <c r="H11" s="2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7.399999999999999">
      <c r="A12" s="27">
        <f>'Monthly Summary'!B30</f>
        <v>18570</v>
      </c>
      <c r="B12" s="27"/>
      <c r="C12" s="10"/>
      <c r="D12" s="27">
        <f>'Monthly Summary'!B31</f>
        <v>27786</v>
      </c>
      <c r="E12" s="27"/>
      <c r="F12" s="10"/>
      <c r="G12" s="27">
        <f>'Monthly Summary'!B33</f>
        <v>27786</v>
      </c>
      <c r="H12" s="2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9" t="s">
        <v>13</v>
      </c>
      <c r="B15" s="9" t="s">
        <v>14</v>
      </c>
      <c r="C15" s="9" t="s">
        <v>15</v>
      </c>
      <c r="D15" s="9" t="s">
        <v>16</v>
      </c>
      <c r="E15" s="9" t="s">
        <v>17</v>
      </c>
      <c r="F15" s="9"/>
      <c r="G15" s="9"/>
      <c r="H15" s="9" t="s">
        <v>18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 t="s">
        <v>13</v>
      </c>
      <c r="B16" s="12">
        <f>IFERROR(SUMIFS('Daily Sales &amp; Expenses'!$D$2:$D$494,'Daily Sales &amp; Expenses'!$A$2:$A$494,MAX('Daily Sales &amp; Expenses'!$A$2:$A$494)),0)</f>
        <v>6399</v>
      </c>
      <c r="C16" s="12">
        <f>IFERROR(SUMIFS('Daily Sales &amp; Expenses'!$I$2:$I$494,'Daily Sales &amp; Expenses'!$A$2:$A$494,MAX('Daily Sales &amp; Expenses'!$A$2:$A$494)),0)</f>
        <v>5095</v>
      </c>
      <c r="D16" s="12">
        <f>B16-C16</f>
        <v>1304</v>
      </c>
      <c r="E16" s="12">
        <f>IFERROR(SUMIFS('Daily Sales &amp; Expenses'!$N$2:$N$494,'Daily Sales &amp; Expenses'!$A$2:$A$494,MAX('Daily Sales &amp; Expenses'!$A$2:$A$494)),0)</f>
        <v>27786</v>
      </c>
      <c r="F16" s="10"/>
      <c r="G16" s="10"/>
      <c r="H16" s="13">
        <f>IFERROR(SUMIFS('Daily Sales &amp; Expenses'!$A$2:$A$494,'Daily Sales &amp; Expenses'!$A$2:$A$494,MAX('Daily Sales &amp; Expenses'!$A$2:$A$494)),0)</f>
        <v>46289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4.4">
      <c r="A17" s="28" t="s">
        <v>19</v>
      </c>
      <c r="B17" s="28"/>
      <c r="C17" s="28"/>
      <c r="D17" s="28"/>
      <c r="E17" s="28"/>
      <c r="F17" s="28"/>
      <c r="G17" s="28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mergeCells count="20">
    <mergeCell ref="A12:B12"/>
    <mergeCell ref="D12:E12"/>
    <mergeCell ref="G12:H12"/>
    <mergeCell ref="A17:H17"/>
    <mergeCell ref="A11:B11"/>
    <mergeCell ref="D11:E11"/>
    <mergeCell ref="G11:H11"/>
    <mergeCell ref="A6:B6"/>
    <mergeCell ref="D6:E6"/>
    <mergeCell ref="G6:H6"/>
    <mergeCell ref="A9:B9"/>
    <mergeCell ref="D9:E9"/>
    <mergeCell ref="G9:H9"/>
    <mergeCell ref="A1:H1"/>
    <mergeCell ref="A5:B5"/>
    <mergeCell ref="D5:E5"/>
    <mergeCell ref="G5:H5"/>
    <mergeCell ref="A8:B8"/>
    <mergeCell ref="D8:E8"/>
    <mergeCell ref="G8:H8"/>
  </mergeCells>
  <dataValidations count="1">
    <dataValidation type="list" sqref="B3">
      <formula1>"January,February,March,April,May,June,July,August,September,October,November,December"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"/>
  <sheetViews>
    <sheetView workbookViewId="0">
      <selection sqref="A1:F1"/>
    </sheetView>
  </sheetViews>
  <sheetFormatPr defaultRowHeight="13.8"/>
  <cols>
    <col min="1" max="1" width="15" customWidth="1"/>
    <col min="2" max="2" width="18" customWidth="1"/>
    <col min="3" max="3" width="20" customWidth="1"/>
    <col min="4" max="5" width="18" customWidth="1"/>
    <col min="6" max="6" width="20" customWidth="1"/>
  </cols>
  <sheetData>
    <row r="1" spans="1:21" ht="22.8">
      <c r="A1" s="25" t="s">
        <v>20</v>
      </c>
      <c r="B1" s="25"/>
      <c r="C1" s="25"/>
      <c r="D1" s="25"/>
      <c r="E1" s="25"/>
      <c r="F1" s="25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1" t="s">
        <v>3</v>
      </c>
      <c r="B3" s="11">
        <v>2026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4" t="s">
        <v>1</v>
      </c>
      <c r="B5" s="14" t="s">
        <v>6</v>
      </c>
      <c r="C5" s="14" t="s">
        <v>7</v>
      </c>
      <c r="D5" s="14" t="s">
        <v>8</v>
      </c>
      <c r="E5" s="14" t="s">
        <v>12</v>
      </c>
      <c r="F5" s="14" t="s">
        <v>21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0" t="s">
        <v>22</v>
      </c>
      <c r="B6" s="15">
        <f>SUMIFS('Daily Sales &amp; Expenses'!$D$2:$D$495,'Daily Sales &amp; Expenses'!$A$2:$A$495,"&gt;="&amp;DATE($B$3,1,1),'Daily Sales &amp; Expenses'!$A$2:$A$495,"&lt;"&amp;EDATE(DATE($B$3,1,1),1))</f>
        <v>0</v>
      </c>
      <c r="C6" s="15">
        <f>SUMIFS('Weekly Purchases'!$M$2:$M$503,'Weekly Purchases'!$A$2:$A$503,"&gt;="&amp;DATE($B$3,1,1),'Weekly Purchases'!$A$2:$A$503,"&lt;"&amp;EDATE(DATE($B$3,1,1),1))</f>
        <v>0</v>
      </c>
      <c r="D6" s="15">
        <f>SUMIFS('Daily Sales &amp; Expenses'!$I$2:$I$495,'Daily Sales &amp; Expenses'!$A$2:$A$495,"&gt;="&amp;DATE($B$3,1,1),'Daily Sales &amp; Expenses'!$A$2:$A$495,"&lt;"&amp;EDATE(DATE($B$3,1,1),1))</f>
        <v>0</v>
      </c>
      <c r="E6" s="15">
        <f t="shared" ref="E6:E17" si="0">B6-C6-D6</f>
        <v>0</v>
      </c>
      <c r="F6" s="15">
        <f>Settings!$B$3+Settings!$B$4+SUMIFS('Daily Sales &amp; Expenses'!$D$2:$D$495,'Daily Sales &amp; Expenses'!$A$2:$A$495,"&lt;"&amp;EDATE(DATE($B$3,1,1),1))-SUMIFS('Daily Sales &amp; Expenses'!$J$2:$J$495,'Daily Sales &amp; Expenses'!$A$2:$A$495,"&lt;"&amp;EDATE(DATE($B$3,1,1),1))-SUMIFS('Daily Sales &amp; Expenses'!$K$2:$K$495,'Daily Sales &amp; Expenses'!$A$2:$A$495,"&lt;"&amp;EDATE(DATE($B$3,1,1),1))-SUMIFS('Weekly Purchases'!$N$2:$N$503,'Weekly Purchases'!$B$2:$B$503,"&lt;"&amp;EDATE(DATE($B$3,1,1),1),'Weekly Purchases'!$B$2:$B$503,"&lt;&gt;")-SUMIFS('Weekly Purchases'!$N$2:$N$503,'Weekly Purchases'!$B$2:$B$503,"",'Weekly Purchases'!$A$2:$A$503,"&lt;"&amp;EDATE(DATE($B$3,1,1),1))-SUMIFS('Weekly Purchases'!$O$2:$O$503,'Weekly Purchases'!$B$2:$B$503,"&lt;"&amp;EDATE(DATE($B$3,1,1),1),'Weekly Purchases'!$B$2:$B$503,"&lt;&gt;")-SUMIFS('Weekly Purchases'!$O$2:$O$503,'Weekly Purchases'!$B$2:$B$503,"",'Weekly Purchases'!$A$2:$A$503,"&lt;"&amp;EDATE(DATE($B$3,1,1),1))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0" t="s">
        <v>23</v>
      </c>
      <c r="B7" s="15">
        <f>SUMIFS('Daily Sales &amp; Expenses'!$D$2:$D$495,'Daily Sales &amp; Expenses'!$A$2:$A$495,"&gt;="&amp;DATE($B$3,2,1),'Daily Sales &amp; Expenses'!$A$2:$A$495,"&lt;"&amp;EDATE(DATE($B$3,2,1),1))</f>
        <v>0</v>
      </c>
      <c r="C7" s="15">
        <f>SUMIFS('Weekly Purchases'!$M$2:$M$503,'Weekly Purchases'!$A$2:$A$503,"&gt;="&amp;DATE($B$3,2,1),'Weekly Purchases'!$A$2:$A$503,"&lt;"&amp;EDATE(DATE($B$3,2,1),1))</f>
        <v>0</v>
      </c>
      <c r="D7" s="15">
        <f>SUMIFS('Daily Sales &amp; Expenses'!$I$2:$I$495,'Daily Sales &amp; Expenses'!$A$2:$A$495,"&gt;="&amp;DATE($B$3,2,1),'Daily Sales &amp; Expenses'!$A$2:$A$495,"&lt;"&amp;EDATE(DATE($B$3,2,1),1))</f>
        <v>0</v>
      </c>
      <c r="E7" s="15">
        <f t="shared" si="0"/>
        <v>0</v>
      </c>
      <c r="F7" s="15">
        <f>Settings!$B$3+Settings!$B$4+SUMIFS('Daily Sales &amp; Expenses'!$D$2:$D$495,'Daily Sales &amp; Expenses'!$A$2:$A$495,"&lt;"&amp;EDATE(DATE($B$3,2,1),1))-SUMIFS('Daily Sales &amp; Expenses'!$J$2:$J$495,'Daily Sales &amp; Expenses'!$A$2:$A$495,"&lt;"&amp;EDATE(DATE($B$3,2,1),1))-SUMIFS('Daily Sales &amp; Expenses'!$K$2:$K$495,'Daily Sales &amp; Expenses'!$A$2:$A$495,"&lt;"&amp;EDATE(DATE($B$3,2,1),1))-SUMIFS('Weekly Purchases'!$N$2:$N$503,'Weekly Purchases'!$B$2:$B$503,"&lt;"&amp;EDATE(DATE($B$3,2,1),1),'Weekly Purchases'!$B$2:$B$503,"&lt;&gt;")-SUMIFS('Weekly Purchases'!$N$2:$N$503,'Weekly Purchases'!$B$2:$B$503,"",'Weekly Purchases'!$A$2:$A$503,"&lt;"&amp;EDATE(DATE($B$3,2,1),1))-SUMIFS('Weekly Purchases'!$O$2:$O$503,'Weekly Purchases'!$B$2:$B$503,"&lt;"&amp;EDATE(DATE($B$3,2,1),1),'Weekly Purchases'!$B$2:$B$503,"&lt;&gt;")-SUMIFS('Weekly Purchases'!$O$2:$O$503,'Weekly Purchases'!$B$2:$B$503,"",'Weekly Purchases'!$A$2:$A$503,"&lt;"&amp;EDATE(DATE($B$3,2,1),1))</f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0" t="s">
        <v>24</v>
      </c>
      <c r="B8" s="15">
        <f>SUMIFS('Daily Sales &amp; Expenses'!$D$2:$D$495,'Daily Sales &amp; Expenses'!$A$2:$A$495,"&gt;="&amp;DATE($B$3,3,1),'Daily Sales &amp; Expenses'!$A$2:$A$495,"&lt;"&amp;EDATE(DATE($B$3,3,1),1))</f>
        <v>0</v>
      </c>
      <c r="C8" s="15">
        <f>SUMIFS('Weekly Purchases'!$M$2:$M$503,'Weekly Purchases'!$A$2:$A$503,"&gt;="&amp;DATE($B$3,3,1),'Weekly Purchases'!$A$2:$A$503,"&lt;"&amp;EDATE(DATE($B$3,3,1),1))</f>
        <v>0</v>
      </c>
      <c r="D8" s="15">
        <f>SUMIFS('Daily Sales &amp; Expenses'!$I$2:$I$495,'Daily Sales &amp; Expenses'!$A$2:$A$495,"&gt;="&amp;DATE($B$3,3,1),'Daily Sales &amp; Expenses'!$A$2:$A$495,"&lt;"&amp;EDATE(DATE($B$3,3,1),1))</f>
        <v>0</v>
      </c>
      <c r="E8" s="15">
        <f t="shared" si="0"/>
        <v>0</v>
      </c>
      <c r="F8" s="15">
        <f>Settings!$B$3+Settings!$B$4+SUMIFS('Daily Sales &amp; Expenses'!$D$2:$D$495,'Daily Sales &amp; Expenses'!$A$2:$A$495,"&lt;"&amp;EDATE(DATE($B$3,3,1),1))-SUMIFS('Daily Sales &amp; Expenses'!$J$2:$J$495,'Daily Sales &amp; Expenses'!$A$2:$A$495,"&lt;"&amp;EDATE(DATE($B$3,3,1),1))-SUMIFS('Daily Sales &amp; Expenses'!$K$2:$K$495,'Daily Sales &amp; Expenses'!$A$2:$A$495,"&lt;"&amp;EDATE(DATE($B$3,3,1),1))-SUMIFS('Weekly Purchases'!$N$2:$N$503,'Weekly Purchases'!$B$2:$B$503,"&lt;"&amp;EDATE(DATE($B$3,3,1),1),'Weekly Purchases'!$B$2:$B$503,"&lt;&gt;")-SUMIFS('Weekly Purchases'!$N$2:$N$503,'Weekly Purchases'!$B$2:$B$503,"",'Weekly Purchases'!$A$2:$A$503,"&lt;"&amp;EDATE(DATE($B$3,3,1),1))-SUMIFS('Weekly Purchases'!$O$2:$O$503,'Weekly Purchases'!$B$2:$B$503,"&lt;"&amp;EDATE(DATE($B$3,3,1),1),'Weekly Purchases'!$B$2:$B$503,"&lt;&gt;")-SUMIFS('Weekly Purchases'!$O$2:$O$503,'Weekly Purchases'!$B$2:$B$503,"",'Weekly Purchases'!$A$2:$A$503,"&lt;"&amp;EDATE(DATE($B$3,3,1),1))</f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 t="s">
        <v>25</v>
      </c>
      <c r="B9" s="15">
        <f>SUMIFS('Daily Sales &amp; Expenses'!$D$2:$D$495,'Daily Sales &amp; Expenses'!$A$2:$A$495,"&gt;="&amp;DATE($B$3,4,1),'Daily Sales &amp; Expenses'!$A$2:$A$495,"&lt;"&amp;EDATE(DATE($B$3,4,1),1))</f>
        <v>0</v>
      </c>
      <c r="C9" s="15">
        <f>SUMIFS('Weekly Purchases'!$M$2:$M$503,'Weekly Purchases'!$A$2:$A$503,"&gt;="&amp;DATE($B$3,4,1),'Weekly Purchases'!$A$2:$A$503,"&lt;"&amp;EDATE(DATE($B$3,4,1),1))</f>
        <v>0</v>
      </c>
      <c r="D9" s="15">
        <f>SUMIFS('Daily Sales &amp; Expenses'!$I$2:$I$495,'Daily Sales &amp; Expenses'!$A$2:$A$495,"&gt;="&amp;DATE($B$3,4,1),'Daily Sales &amp; Expenses'!$A$2:$A$495,"&lt;"&amp;EDATE(DATE($B$3,4,1),1))</f>
        <v>0</v>
      </c>
      <c r="E9" s="15">
        <f t="shared" si="0"/>
        <v>0</v>
      </c>
      <c r="F9" s="15">
        <f>Settings!$B$3+Settings!$B$4+SUMIFS('Daily Sales &amp; Expenses'!$D$2:$D$495,'Daily Sales &amp; Expenses'!$A$2:$A$495,"&lt;"&amp;EDATE(DATE($B$3,4,1),1))-SUMIFS('Daily Sales &amp; Expenses'!$J$2:$J$495,'Daily Sales &amp; Expenses'!$A$2:$A$495,"&lt;"&amp;EDATE(DATE($B$3,4,1),1))-SUMIFS('Daily Sales &amp; Expenses'!$K$2:$K$495,'Daily Sales &amp; Expenses'!$A$2:$A$495,"&lt;"&amp;EDATE(DATE($B$3,4,1),1))-SUMIFS('Weekly Purchases'!$N$2:$N$503,'Weekly Purchases'!$B$2:$B$503,"&lt;"&amp;EDATE(DATE($B$3,4,1),1),'Weekly Purchases'!$B$2:$B$503,"&lt;&gt;")-SUMIFS('Weekly Purchases'!$N$2:$N$503,'Weekly Purchases'!$B$2:$B$503,"",'Weekly Purchases'!$A$2:$A$503,"&lt;"&amp;EDATE(DATE($B$3,4,1),1))-SUMIFS('Weekly Purchases'!$O$2:$O$503,'Weekly Purchases'!$B$2:$B$503,"&lt;"&amp;EDATE(DATE($B$3,4,1),1),'Weekly Purchases'!$B$2:$B$503,"&lt;&gt;")-SUMIFS('Weekly Purchases'!$O$2:$O$503,'Weekly Purchases'!$B$2:$B$503,"",'Weekly Purchases'!$A$2:$A$503,"&lt;"&amp;EDATE(DATE($B$3,4,1),1))</f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 t="s">
        <v>26</v>
      </c>
      <c r="B10" s="15">
        <f>SUMIFS('Daily Sales &amp; Expenses'!$D$2:$D$495,'Daily Sales &amp; Expenses'!$A$2:$A$495,"&gt;="&amp;DATE($B$3,5,1),'Daily Sales &amp; Expenses'!$A$2:$A$495,"&lt;"&amp;EDATE(DATE($B$3,5,1),1))</f>
        <v>0</v>
      </c>
      <c r="C10" s="15">
        <f>SUMIFS('Weekly Purchases'!$M$2:$M$503,'Weekly Purchases'!$A$2:$A$503,"&gt;="&amp;DATE($B$3,5,1),'Weekly Purchases'!$A$2:$A$503,"&lt;"&amp;EDATE(DATE($B$3,5,1),1))</f>
        <v>0</v>
      </c>
      <c r="D10" s="15">
        <f>SUMIFS('Daily Sales &amp; Expenses'!$I$2:$I$495,'Daily Sales &amp; Expenses'!$A$2:$A$495,"&gt;="&amp;DATE($B$3,5,1),'Daily Sales &amp; Expenses'!$A$2:$A$495,"&lt;"&amp;EDATE(DATE($B$3,5,1),1))</f>
        <v>0</v>
      </c>
      <c r="E10" s="15">
        <f t="shared" si="0"/>
        <v>0</v>
      </c>
      <c r="F10" s="15">
        <f>Settings!$B$3+Settings!$B$4+SUMIFS('Daily Sales &amp; Expenses'!$D$2:$D$495,'Daily Sales &amp; Expenses'!$A$2:$A$495,"&lt;"&amp;EDATE(DATE($B$3,5,1),1))-SUMIFS('Daily Sales &amp; Expenses'!$J$2:$J$495,'Daily Sales &amp; Expenses'!$A$2:$A$495,"&lt;"&amp;EDATE(DATE($B$3,5,1),1))-SUMIFS('Daily Sales &amp; Expenses'!$K$2:$K$495,'Daily Sales &amp; Expenses'!$A$2:$A$495,"&lt;"&amp;EDATE(DATE($B$3,5,1),1))-SUMIFS('Weekly Purchases'!$N$2:$N$503,'Weekly Purchases'!$B$2:$B$503,"&lt;"&amp;EDATE(DATE($B$3,5,1),1),'Weekly Purchases'!$B$2:$B$503,"&lt;&gt;")-SUMIFS('Weekly Purchases'!$N$2:$N$503,'Weekly Purchases'!$B$2:$B$503,"",'Weekly Purchases'!$A$2:$A$503,"&lt;"&amp;EDATE(DATE($B$3,5,1),1))-SUMIFS('Weekly Purchases'!$O$2:$O$503,'Weekly Purchases'!$B$2:$B$503,"&lt;"&amp;EDATE(DATE($B$3,5,1),1),'Weekly Purchases'!$B$2:$B$503,"&lt;&gt;")-SUMIFS('Weekly Purchases'!$O$2:$O$503,'Weekly Purchases'!$B$2:$B$503,"",'Weekly Purchases'!$A$2:$A$503,"&lt;"&amp;EDATE(DATE($B$3,5,1),1))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 t="s">
        <v>27</v>
      </c>
      <c r="B11" s="15">
        <f>SUMIFS('Daily Sales &amp; Expenses'!$D$2:$D$495,'Daily Sales &amp; Expenses'!$A$2:$A$495,"&gt;="&amp;DATE($B$3,6,1),'Daily Sales &amp; Expenses'!$A$2:$A$495,"&lt;"&amp;EDATE(DATE($B$3,6,1),1))</f>
        <v>0</v>
      </c>
      <c r="C11" s="15">
        <f>SUMIFS('Weekly Purchases'!$M$2:$M$503,'Weekly Purchases'!$A$2:$A$503,"&gt;="&amp;DATE($B$3,6,1),'Weekly Purchases'!$A$2:$A$503,"&lt;"&amp;EDATE(DATE($B$3,6,1),1))</f>
        <v>0</v>
      </c>
      <c r="D11" s="15">
        <f>SUMIFS('Daily Sales &amp; Expenses'!$I$2:$I$495,'Daily Sales &amp; Expenses'!$A$2:$A$495,"&gt;="&amp;DATE($B$3,6,1),'Daily Sales &amp; Expenses'!$A$2:$A$495,"&lt;"&amp;EDATE(DATE($B$3,6,1),1))</f>
        <v>0</v>
      </c>
      <c r="E11" s="15">
        <f t="shared" si="0"/>
        <v>0</v>
      </c>
      <c r="F11" s="15">
        <f>Settings!$B$3+Settings!$B$4+SUMIFS('Daily Sales &amp; Expenses'!$D$2:$D$495,'Daily Sales &amp; Expenses'!$A$2:$A$495,"&lt;"&amp;EDATE(DATE($B$3,6,1),1))-SUMIFS('Daily Sales &amp; Expenses'!$J$2:$J$495,'Daily Sales &amp; Expenses'!$A$2:$A$495,"&lt;"&amp;EDATE(DATE($B$3,6,1),1))-SUMIFS('Daily Sales &amp; Expenses'!$K$2:$K$495,'Daily Sales &amp; Expenses'!$A$2:$A$495,"&lt;"&amp;EDATE(DATE($B$3,6,1),1))-SUMIFS('Weekly Purchases'!$N$2:$N$503,'Weekly Purchases'!$B$2:$B$503,"&lt;"&amp;EDATE(DATE($B$3,6,1),1),'Weekly Purchases'!$B$2:$B$503,"&lt;&gt;")-SUMIFS('Weekly Purchases'!$N$2:$N$503,'Weekly Purchases'!$B$2:$B$503,"",'Weekly Purchases'!$A$2:$A$503,"&lt;"&amp;EDATE(DATE($B$3,6,1),1))-SUMIFS('Weekly Purchases'!$O$2:$O$503,'Weekly Purchases'!$B$2:$B$503,"&lt;"&amp;EDATE(DATE($B$3,6,1),1),'Weekly Purchases'!$B$2:$B$503,"&lt;&gt;")-SUMIFS('Weekly Purchases'!$O$2:$O$503,'Weekly Purchases'!$B$2:$B$503,"",'Weekly Purchases'!$A$2:$A$503,"&lt;"&amp;EDATE(DATE($B$3,6,1),1))</f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 t="s">
        <v>28</v>
      </c>
      <c r="B12" s="15">
        <f>SUMIFS('Daily Sales &amp; Expenses'!$D$2:$D$495,'Daily Sales &amp; Expenses'!$A$2:$A$495,"&gt;="&amp;DATE($B$3,7,1),'Daily Sales &amp; Expenses'!$A$2:$A$495,"&lt;"&amp;EDATE(DATE($B$3,7,1),1))</f>
        <v>0</v>
      </c>
      <c r="C12" s="15">
        <f>SUMIFS('Weekly Purchases'!$M$2:$M$503,'Weekly Purchases'!$A$2:$A$503,"&gt;="&amp;DATE($B$3,7,1),'Weekly Purchases'!$A$2:$A$503,"&lt;"&amp;EDATE(DATE($B$3,7,1),1))</f>
        <v>0</v>
      </c>
      <c r="D12" s="15">
        <f>SUMIFS('Daily Sales &amp; Expenses'!$I$2:$I$495,'Daily Sales &amp; Expenses'!$A$2:$A$495,"&gt;="&amp;DATE($B$3,7,1),'Daily Sales &amp; Expenses'!$A$2:$A$495,"&lt;"&amp;EDATE(DATE($B$3,7,1),1))</f>
        <v>0</v>
      </c>
      <c r="E12" s="15">
        <f t="shared" si="0"/>
        <v>0</v>
      </c>
      <c r="F12" s="15">
        <f>Settings!$B$3+Settings!$B$4+SUMIFS('Daily Sales &amp; Expenses'!$D$2:$D$495,'Daily Sales &amp; Expenses'!$A$2:$A$495,"&lt;"&amp;EDATE(DATE($B$3,7,1),1))-SUMIFS('Daily Sales &amp; Expenses'!$J$2:$J$495,'Daily Sales &amp; Expenses'!$A$2:$A$495,"&lt;"&amp;EDATE(DATE($B$3,7,1),1))-SUMIFS('Daily Sales &amp; Expenses'!$K$2:$K$495,'Daily Sales &amp; Expenses'!$A$2:$A$495,"&lt;"&amp;EDATE(DATE($B$3,7,1),1))-SUMIFS('Weekly Purchases'!$N$2:$N$503,'Weekly Purchases'!$B$2:$B$503,"&lt;"&amp;EDATE(DATE($B$3,7,1),1),'Weekly Purchases'!$B$2:$B$503,"&lt;&gt;")-SUMIFS('Weekly Purchases'!$N$2:$N$503,'Weekly Purchases'!$B$2:$B$503,"",'Weekly Purchases'!$A$2:$A$503,"&lt;"&amp;EDATE(DATE($B$3,7,1),1))-SUMIFS('Weekly Purchases'!$O$2:$O$503,'Weekly Purchases'!$B$2:$B$503,"&lt;"&amp;EDATE(DATE($B$3,7,1),1),'Weekly Purchases'!$B$2:$B$503,"&lt;&gt;")-SUMIFS('Weekly Purchases'!$O$2:$O$503,'Weekly Purchases'!$B$2:$B$503,"",'Weekly Purchases'!$A$2:$A$503,"&lt;"&amp;EDATE(DATE($B$3,7,1),1))</f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 t="s">
        <v>29</v>
      </c>
      <c r="B13" s="15">
        <f>SUMIFS('Daily Sales &amp; Expenses'!$D$2:$D$495,'Daily Sales &amp; Expenses'!$A$2:$A$495,"&gt;="&amp;DATE($B$3,8,1),'Daily Sales &amp; Expenses'!$A$2:$A$495,"&lt;"&amp;EDATE(DATE($B$3,8,1),1))</f>
        <v>0</v>
      </c>
      <c r="C13" s="15">
        <f>SUMIFS('Weekly Purchases'!$M$2:$M$503,'Weekly Purchases'!$A$2:$A$503,"&gt;="&amp;DATE($B$3,8,1),'Weekly Purchases'!$A$2:$A$503,"&lt;"&amp;EDATE(DATE($B$3,8,1),1))</f>
        <v>0</v>
      </c>
      <c r="D13" s="15">
        <f>SUMIFS('Daily Sales &amp; Expenses'!$I$2:$I$495,'Daily Sales &amp; Expenses'!$A$2:$A$495,"&gt;="&amp;DATE($B$3,8,1),'Daily Sales &amp; Expenses'!$A$2:$A$495,"&lt;"&amp;EDATE(DATE($B$3,8,1),1))</f>
        <v>0</v>
      </c>
      <c r="E13" s="15">
        <f t="shared" si="0"/>
        <v>0</v>
      </c>
      <c r="F13" s="15">
        <f>Settings!$B$3+Settings!$B$4+SUMIFS('Daily Sales &amp; Expenses'!$D$2:$D$495,'Daily Sales &amp; Expenses'!$A$2:$A$495,"&lt;"&amp;EDATE(DATE($B$3,8,1),1))-SUMIFS('Daily Sales &amp; Expenses'!$J$2:$J$495,'Daily Sales &amp; Expenses'!$A$2:$A$495,"&lt;"&amp;EDATE(DATE($B$3,8,1),1))-SUMIFS('Daily Sales &amp; Expenses'!$K$2:$K$495,'Daily Sales &amp; Expenses'!$A$2:$A$495,"&lt;"&amp;EDATE(DATE($B$3,8,1),1))-SUMIFS('Weekly Purchases'!$N$2:$N$503,'Weekly Purchases'!$B$2:$B$503,"&lt;"&amp;EDATE(DATE($B$3,8,1),1),'Weekly Purchases'!$B$2:$B$503,"&lt;&gt;")-SUMIFS('Weekly Purchases'!$N$2:$N$503,'Weekly Purchases'!$B$2:$B$503,"",'Weekly Purchases'!$A$2:$A$503,"&lt;"&amp;EDATE(DATE($B$3,8,1),1))-SUMIFS('Weekly Purchases'!$O$2:$O$503,'Weekly Purchases'!$B$2:$B$503,"&lt;"&amp;EDATE(DATE($B$3,8,1),1),'Weekly Purchases'!$B$2:$B$503,"&lt;&gt;")-SUMIFS('Weekly Purchases'!$O$2:$O$503,'Weekly Purchases'!$B$2:$B$503,"",'Weekly Purchases'!$A$2:$A$503,"&lt;"&amp;EDATE(DATE($B$3,8,1),1))</f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 t="s">
        <v>2</v>
      </c>
      <c r="B14" s="15">
        <f>SUMIFS('Daily Sales &amp; Expenses'!$D$2:$D$495,'Daily Sales &amp; Expenses'!$A$2:$A$495,"&gt;="&amp;DATE($B$3,9,1),'Daily Sales &amp; Expenses'!$A$2:$A$495,"&lt;"&amp;EDATE(DATE($B$3,9,1),1))</f>
        <v>244854</v>
      </c>
      <c r="C14" s="15">
        <f>SUMIFS('Weekly Purchases'!$M$2:$M$503,'Weekly Purchases'!$A$2:$A$503,"&gt;="&amp;DATE($B$3,9,1),'Weekly Purchases'!$A$2:$A$503,"&lt;"&amp;EDATE(DATE($B$3,9,1),1))</f>
        <v>193826</v>
      </c>
      <c r="D14" s="15">
        <f>SUMIFS('Daily Sales &amp; Expenses'!$I$2:$I$495,'Daily Sales &amp; Expenses'!$A$2:$A$495,"&gt;="&amp;DATE($B$3,9,1),'Daily Sales &amp; Expenses'!$A$2:$A$495,"&lt;"&amp;EDATE(DATE($B$3,9,1),1))</f>
        <v>23242</v>
      </c>
      <c r="E14" s="15">
        <f t="shared" si="0"/>
        <v>27786</v>
      </c>
      <c r="F14" s="15">
        <f>Settings!$B$3+Settings!$B$4+SUMIFS('Daily Sales &amp; Expenses'!$D$2:$D$495,'Daily Sales &amp; Expenses'!$A$2:$A$495,"&lt;"&amp;EDATE(DATE($B$3,9,1),1))-SUMIFS('Daily Sales &amp; Expenses'!$J$2:$J$495,'Daily Sales &amp; Expenses'!$A$2:$A$495,"&lt;"&amp;EDATE(DATE($B$3,9,1),1))-SUMIFS('Daily Sales &amp; Expenses'!$K$2:$K$495,'Daily Sales &amp; Expenses'!$A$2:$A$495,"&lt;"&amp;EDATE(DATE($B$3,9,1),1))-SUMIFS('Weekly Purchases'!$N$2:$N$503,'Weekly Purchases'!$B$2:$B$503,"&lt;"&amp;EDATE(DATE($B$3,9,1),1),'Weekly Purchases'!$B$2:$B$503,"&lt;&gt;")-SUMIFS('Weekly Purchases'!$N$2:$N$503,'Weekly Purchases'!$B$2:$B$503,"",'Weekly Purchases'!$A$2:$A$503,"&lt;"&amp;EDATE(DATE($B$3,9,1),1))-SUMIFS('Weekly Purchases'!$O$2:$O$503,'Weekly Purchases'!$B$2:$B$503,"&lt;"&amp;EDATE(DATE($B$3,9,1),1),'Weekly Purchases'!$B$2:$B$503,"&lt;&gt;")-SUMIFS('Weekly Purchases'!$O$2:$O$503,'Weekly Purchases'!$B$2:$B$503,"",'Weekly Purchases'!$A$2:$A$503,"&lt;"&amp;EDATE(DATE($B$3,9,1),1))</f>
        <v>27786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 t="s">
        <v>30</v>
      </c>
      <c r="B15" s="15">
        <f>SUMIFS('Daily Sales &amp; Expenses'!$D$2:$D$495,'Daily Sales &amp; Expenses'!$A$2:$A$495,"&gt;="&amp;DATE($B$3,10,1),'Daily Sales &amp; Expenses'!$A$2:$A$495,"&lt;"&amp;EDATE(DATE($B$3,10,1),1))</f>
        <v>0</v>
      </c>
      <c r="C15" s="15">
        <f>SUMIFS('Weekly Purchases'!$M$2:$M$503,'Weekly Purchases'!$A$2:$A$503,"&gt;="&amp;DATE($B$3,10,1),'Weekly Purchases'!$A$2:$A$503,"&lt;"&amp;EDATE(DATE($B$3,10,1),1))</f>
        <v>0</v>
      </c>
      <c r="D15" s="15">
        <f>SUMIFS('Daily Sales &amp; Expenses'!$I$2:$I$495,'Daily Sales &amp; Expenses'!$A$2:$A$495,"&gt;="&amp;DATE($B$3,10,1),'Daily Sales &amp; Expenses'!$A$2:$A$495,"&lt;"&amp;EDATE(DATE($B$3,10,1),1))</f>
        <v>0</v>
      </c>
      <c r="E15" s="15">
        <f t="shared" si="0"/>
        <v>0</v>
      </c>
      <c r="F15" s="15">
        <f>Settings!$B$3+Settings!$B$4+SUMIFS('Daily Sales &amp; Expenses'!$D$2:$D$495,'Daily Sales &amp; Expenses'!$A$2:$A$495,"&lt;"&amp;EDATE(DATE($B$3,10,1),1))-SUMIFS('Daily Sales &amp; Expenses'!$J$2:$J$495,'Daily Sales &amp; Expenses'!$A$2:$A$495,"&lt;"&amp;EDATE(DATE($B$3,10,1),1))-SUMIFS('Daily Sales &amp; Expenses'!$K$2:$K$495,'Daily Sales &amp; Expenses'!$A$2:$A$495,"&lt;"&amp;EDATE(DATE($B$3,10,1),1))-SUMIFS('Weekly Purchases'!$N$2:$N$503,'Weekly Purchases'!$B$2:$B$503,"&lt;"&amp;EDATE(DATE($B$3,10,1),1),'Weekly Purchases'!$B$2:$B$503,"&lt;&gt;")-SUMIFS('Weekly Purchases'!$N$2:$N$503,'Weekly Purchases'!$B$2:$B$503,"",'Weekly Purchases'!$A$2:$A$503,"&lt;"&amp;EDATE(DATE($B$3,10,1),1))-SUMIFS('Weekly Purchases'!$O$2:$O$503,'Weekly Purchases'!$B$2:$B$503,"&lt;"&amp;EDATE(DATE($B$3,10,1),1),'Weekly Purchases'!$B$2:$B$503,"&lt;&gt;")-SUMIFS('Weekly Purchases'!$O$2:$O$503,'Weekly Purchases'!$B$2:$B$503,"",'Weekly Purchases'!$A$2:$A$503,"&lt;"&amp;EDATE(DATE($B$3,10,1),1))</f>
        <v>27786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 t="s">
        <v>31</v>
      </c>
      <c r="B16" s="15">
        <f>SUMIFS('Daily Sales &amp; Expenses'!$D$2:$D$495,'Daily Sales &amp; Expenses'!$A$2:$A$495,"&gt;="&amp;DATE($B$3,11,1),'Daily Sales &amp; Expenses'!$A$2:$A$495,"&lt;"&amp;EDATE(DATE($B$3,11,1),1))</f>
        <v>0</v>
      </c>
      <c r="C16" s="15">
        <f>SUMIFS('Weekly Purchases'!$M$2:$M$503,'Weekly Purchases'!$A$2:$A$503,"&gt;="&amp;DATE($B$3,11,1),'Weekly Purchases'!$A$2:$A$503,"&lt;"&amp;EDATE(DATE($B$3,11,1),1))</f>
        <v>0</v>
      </c>
      <c r="D16" s="15">
        <f>SUMIFS('Daily Sales &amp; Expenses'!$I$2:$I$495,'Daily Sales &amp; Expenses'!$A$2:$A$495,"&gt;="&amp;DATE($B$3,11,1),'Daily Sales &amp; Expenses'!$A$2:$A$495,"&lt;"&amp;EDATE(DATE($B$3,11,1),1))</f>
        <v>0</v>
      </c>
      <c r="E16" s="15">
        <f t="shared" si="0"/>
        <v>0</v>
      </c>
      <c r="F16" s="15">
        <f>Settings!$B$3+Settings!$B$4+SUMIFS('Daily Sales &amp; Expenses'!$D$2:$D$495,'Daily Sales &amp; Expenses'!$A$2:$A$495,"&lt;"&amp;EDATE(DATE($B$3,11,1),1))-SUMIFS('Daily Sales &amp; Expenses'!$J$2:$J$495,'Daily Sales &amp; Expenses'!$A$2:$A$495,"&lt;"&amp;EDATE(DATE($B$3,11,1),1))-SUMIFS('Daily Sales &amp; Expenses'!$K$2:$K$495,'Daily Sales &amp; Expenses'!$A$2:$A$495,"&lt;"&amp;EDATE(DATE($B$3,11,1),1))-SUMIFS('Weekly Purchases'!$N$2:$N$503,'Weekly Purchases'!$B$2:$B$503,"&lt;"&amp;EDATE(DATE($B$3,11,1),1),'Weekly Purchases'!$B$2:$B$503,"&lt;&gt;")-SUMIFS('Weekly Purchases'!$N$2:$N$503,'Weekly Purchases'!$B$2:$B$503,"",'Weekly Purchases'!$A$2:$A$503,"&lt;"&amp;EDATE(DATE($B$3,11,1),1))-SUMIFS('Weekly Purchases'!$O$2:$O$503,'Weekly Purchases'!$B$2:$B$503,"&lt;"&amp;EDATE(DATE($B$3,11,1),1),'Weekly Purchases'!$B$2:$B$503,"&lt;&gt;")-SUMIFS('Weekly Purchases'!$O$2:$O$503,'Weekly Purchases'!$B$2:$B$503,"",'Weekly Purchases'!$A$2:$A$503,"&lt;"&amp;EDATE(DATE($B$3,11,1),1))</f>
        <v>27786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 t="s">
        <v>32</v>
      </c>
      <c r="B17" s="15">
        <f>SUMIFS('Daily Sales &amp; Expenses'!$D$2:$D$495,'Daily Sales &amp; Expenses'!$A$2:$A$495,"&gt;="&amp;DATE($B$3,12,1),'Daily Sales &amp; Expenses'!$A$2:$A$495,"&lt;"&amp;EDATE(DATE($B$3,12,1),1))</f>
        <v>0</v>
      </c>
      <c r="C17" s="15">
        <f>SUMIFS('Weekly Purchases'!$M$2:$M$503,'Weekly Purchases'!$A$2:$A$503,"&gt;="&amp;DATE($B$3,12,1),'Weekly Purchases'!$A$2:$A$503,"&lt;"&amp;EDATE(DATE($B$3,12,1),1))</f>
        <v>0</v>
      </c>
      <c r="D17" s="15">
        <f>SUMIFS('Daily Sales &amp; Expenses'!$I$2:$I$495,'Daily Sales &amp; Expenses'!$A$2:$A$495,"&gt;="&amp;DATE($B$3,12,1),'Daily Sales &amp; Expenses'!$A$2:$A$495,"&lt;"&amp;EDATE(DATE($B$3,12,1),1))</f>
        <v>0</v>
      </c>
      <c r="E17" s="15">
        <f t="shared" si="0"/>
        <v>0</v>
      </c>
      <c r="F17" s="15">
        <f>Settings!$B$3+Settings!$B$4+SUMIFS('Daily Sales &amp; Expenses'!$D$2:$D$495,'Daily Sales &amp; Expenses'!$A$2:$A$495,"&lt;"&amp;EDATE(DATE($B$3,12,1),1))-SUMIFS('Daily Sales &amp; Expenses'!$J$2:$J$495,'Daily Sales &amp; Expenses'!$A$2:$A$495,"&lt;"&amp;EDATE(DATE($B$3,12,1),1))-SUMIFS('Daily Sales &amp; Expenses'!$K$2:$K$495,'Daily Sales &amp; Expenses'!$A$2:$A$495,"&lt;"&amp;EDATE(DATE($B$3,12,1),1))-SUMIFS('Weekly Purchases'!$N$2:$N$503,'Weekly Purchases'!$B$2:$B$503,"&lt;"&amp;EDATE(DATE($B$3,12,1),1),'Weekly Purchases'!$B$2:$B$503,"&lt;&gt;")-SUMIFS('Weekly Purchases'!$N$2:$N$503,'Weekly Purchases'!$B$2:$B$503,"",'Weekly Purchases'!$A$2:$A$503,"&lt;"&amp;EDATE(DATE($B$3,12,1),1))-SUMIFS('Weekly Purchases'!$O$2:$O$503,'Weekly Purchases'!$B$2:$B$503,"&lt;"&amp;EDATE(DATE($B$3,12,1),1),'Weekly Purchases'!$B$2:$B$503,"&lt;&gt;")-SUMIFS('Weekly Purchases'!$O$2:$O$503,'Weekly Purchases'!$B$2:$B$503,"",'Weekly Purchases'!$A$2:$A$503,"&lt;"&amp;EDATE(DATE($B$3,12,1),1))</f>
        <v>27786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6" t="s">
        <v>33</v>
      </c>
      <c r="B18" s="16">
        <f>SUM(B6:B17)</f>
        <v>244854</v>
      </c>
      <c r="C18" s="16">
        <f>SUM(C6:C17)</f>
        <v>193826</v>
      </c>
      <c r="D18" s="16">
        <f>SUM(D6:D17)</f>
        <v>23242</v>
      </c>
      <c r="E18" s="16">
        <f>SUM(E6:E17)</f>
        <v>27786</v>
      </c>
      <c r="F18" s="16">
        <f>F17</f>
        <v>27786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95"/>
  <sheetViews>
    <sheetView workbookViewId="0">
      <selection activeCell="A20" sqref="A20:XFD20"/>
    </sheetView>
  </sheetViews>
  <sheetFormatPr defaultRowHeight="13.8"/>
  <cols>
    <col min="1" max="6" width="15" customWidth="1"/>
    <col min="7" max="7" width="17" customWidth="1"/>
    <col min="8" max="9" width="15" customWidth="1"/>
    <col min="10" max="10" width="18" customWidth="1"/>
    <col min="11" max="15" width="17" customWidth="1"/>
    <col min="16" max="16" width="28" customWidth="1"/>
  </cols>
  <sheetData>
    <row r="1" spans="1:21" ht="27.6">
      <c r="A1" s="5" t="s">
        <v>34</v>
      </c>
      <c r="B1" s="5" t="s">
        <v>4</v>
      </c>
      <c r="C1" s="5" t="s">
        <v>5</v>
      </c>
      <c r="D1" s="5" t="s">
        <v>6</v>
      </c>
      <c r="E1" s="5" t="str">
        <f>Settings!C7</f>
        <v>Police</v>
      </c>
      <c r="F1" s="5" t="str">
        <f>Settings!C8</f>
        <v>Shop</v>
      </c>
      <c r="G1" s="5" t="str">
        <f>Settings!C9</f>
        <v>Transport</v>
      </c>
      <c r="H1" s="5" t="str">
        <f>Settings!C10</f>
        <v>Other</v>
      </c>
      <c r="I1" s="5" t="s">
        <v>8</v>
      </c>
      <c r="J1" s="5" t="s">
        <v>35</v>
      </c>
      <c r="K1" s="5" t="s">
        <v>36</v>
      </c>
      <c r="L1" s="5" t="s">
        <v>9</v>
      </c>
      <c r="M1" s="5" t="s">
        <v>10</v>
      </c>
      <c r="N1" s="5" t="s">
        <v>11</v>
      </c>
      <c r="O1" s="5" t="s">
        <v>37</v>
      </c>
      <c r="P1" s="5" t="s">
        <v>38</v>
      </c>
      <c r="Q1" s="10"/>
      <c r="R1" s="10"/>
      <c r="S1" s="10"/>
      <c r="T1" s="10"/>
      <c r="U1" s="10"/>
    </row>
    <row r="2" spans="1:21">
      <c r="A2" s="17">
        <v>46271</v>
      </c>
      <c r="B2" s="18">
        <v>25458</v>
      </c>
      <c r="C2" s="18">
        <v>500</v>
      </c>
      <c r="D2" s="15">
        <f t="shared" ref="D2:D57" si="0">IF($A2="","",SUM($B2:$C2))</f>
        <v>25958</v>
      </c>
      <c r="E2" s="18">
        <v>800</v>
      </c>
      <c r="F2" s="18">
        <v>48</v>
      </c>
      <c r="G2" s="18">
        <v>0</v>
      </c>
      <c r="H2" s="18">
        <v>0</v>
      </c>
      <c r="I2" s="15">
        <f t="shared" ref="I2:I57" si="1">IF($A2="","",SUM($E2:$H2))</f>
        <v>848</v>
      </c>
      <c r="J2" s="15">
        <v>848</v>
      </c>
      <c r="K2" s="15">
        <v>0</v>
      </c>
      <c r="L2" s="15">
        <f>IF($A2="","",Settings!$B$3+SUMIFS($B$2:$B$495,$A$2:$A$495,"&lt;="&amp;$A2)-SUMIFS($J$2:$J$495,$A$2:$A$495,"&lt;="&amp;$A2)-SUMIFS('Weekly Purchases'!$N$2:$N$503,'Weekly Purchases'!$B$2:$B$503,"&lt;&gt;",'Weekly Purchases'!$B$2:$B$503,"&lt;="&amp;$A2)-SUMIFS('Weekly Purchases'!$N$2:$N$503,'Weekly Purchases'!$B$2:$B$503,"",'Weekly Purchases'!$A$2:$A$503,"&lt;="&amp;$A2))</f>
        <v>24610</v>
      </c>
      <c r="M2" s="15">
        <f>IF($A2="","",Settings!$B$4+SUMIFS($C$2:$C$495,$A$2:$A$495,"&lt;="&amp;$A2)-SUMIFS($K$2:$K$495,$A$2:$A$495,"&lt;="&amp;$A2)-SUMIFS('Weekly Purchases'!$O$2:$O$503,'Weekly Purchases'!$B$2:$B$503,"&lt;&gt;",'Weekly Purchases'!$B$2:$B$503,"&lt;="&amp;$A2)-SUMIFS('Weekly Purchases'!$O$2:$O$503,'Weekly Purchases'!$B$2:$B$503,"",'Weekly Purchases'!$A$2:$A$503,"&lt;="&amp;$A2))</f>
        <v>500</v>
      </c>
      <c r="N2" s="15">
        <f t="shared" ref="N2:N57" si="2">IF($A2="","",L2+M2)</f>
        <v>25110</v>
      </c>
      <c r="O2" s="15">
        <f t="shared" ref="O2:O57" si="3">IF($A2="","",D2-I2)</f>
        <v>25110</v>
      </c>
      <c r="P2" s="19"/>
      <c r="Q2" s="10"/>
      <c r="R2" s="10"/>
      <c r="S2" s="10"/>
      <c r="T2" s="10"/>
      <c r="U2" s="10"/>
    </row>
    <row r="3" spans="1:21">
      <c r="A3" s="17">
        <v>46272</v>
      </c>
      <c r="B3" s="18">
        <v>10490</v>
      </c>
      <c r="C3" s="18">
        <v>500</v>
      </c>
      <c r="D3" s="15">
        <f t="shared" si="0"/>
        <v>10990</v>
      </c>
      <c r="E3" s="18">
        <v>800</v>
      </c>
      <c r="F3" s="18">
        <v>48</v>
      </c>
      <c r="G3" s="18">
        <v>0</v>
      </c>
      <c r="H3" s="18">
        <v>0</v>
      </c>
      <c r="I3" s="15">
        <f t="shared" si="1"/>
        <v>848</v>
      </c>
      <c r="J3" s="15">
        <v>848</v>
      </c>
      <c r="K3" s="15">
        <v>0</v>
      </c>
      <c r="L3" s="15">
        <f>IF($A3="","",Settings!$B$3+SUMIFS($B$2:$B$495,$A$2:$A$495,"&lt;="&amp;$A3)-SUMIFS($J$2:$J$495,$A$2:$A$495,"&lt;="&amp;$A3)-SUMIFS('Weekly Purchases'!$N$2:$N$503,'Weekly Purchases'!$B$2:$B$503,"&lt;&gt;",'Weekly Purchases'!$B$2:$B$503,"&lt;="&amp;$A3)-SUMIFS('Weekly Purchases'!$N$2:$N$503,'Weekly Purchases'!$B$2:$B$503,"",'Weekly Purchases'!$A$2:$A$503,"&lt;="&amp;$A3))</f>
        <v>34252</v>
      </c>
      <c r="M3" s="15">
        <f>IF($A3="","",Settings!$B$4+SUMIFS($C$2:$C$495,$A$2:$A$495,"&lt;="&amp;$A3)-SUMIFS($K$2:$K$495,$A$2:$A$495,"&lt;="&amp;$A3)-SUMIFS('Weekly Purchases'!$O$2:$O$503,'Weekly Purchases'!$B$2:$B$503,"&lt;&gt;",'Weekly Purchases'!$B$2:$B$503,"&lt;="&amp;$A3)-SUMIFS('Weekly Purchases'!$O$2:$O$503,'Weekly Purchases'!$B$2:$B$503,"",'Weekly Purchases'!$A$2:$A$503,"&lt;="&amp;$A3))</f>
        <v>1000</v>
      </c>
      <c r="N3" s="15">
        <f t="shared" si="2"/>
        <v>35252</v>
      </c>
      <c r="O3" s="15">
        <f t="shared" si="3"/>
        <v>10142</v>
      </c>
      <c r="P3" s="19"/>
      <c r="Q3" s="10"/>
      <c r="R3" s="10"/>
      <c r="S3" s="10"/>
      <c r="T3" s="10"/>
      <c r="U3" s="10"/>
    </row>
    <row r="4" spans="1:21">
      <c r="A4" s="17">
        <v>46273</v>
      </c>
      <c r="B4" s="18">
        <v>4359</v>
      </c>
      <c r="C4" s="18">
        <v>3500</v>
      </c>
      <c r="D4" s="15">
        <f t="shared" si="0"/>
        <v>7859</v>
      </c>
      <c r="E4" s="18">
        <v>800</v>
      </c>
      <c r="F4" s="18">
        <v>501</v>
      </c>
      <c r="G4" s="18">
        <v>0</v>
      </c>
      <c r="H4" s="18">
        <v>498</v>
      </c>
      <c r="I4" s="15">
        <f t="shared" si="1"/>
        <v>1799</v>
      </c>
      <c r="J4" s="15">
        <v>1799</v>
      </c>
      <c r="K4" s="15">
        <v>0</v>
      </c>
      <c r="L4" s="15">
        <f>IF($A4="","",Settings!$B$3+SUMIFS($B$2:$B$495,$A$2:$A$495,"&lt;="&amp;$A4)-SUMIFS($J$2:$J$495,$A$2:$A$495,"&lt;="&amp;$A4)-SUMIFS('Weekly Purchases'!$N$2:$N$503,'Weekly Purchases'!$B$2:$B$503,"&lt;&gt;",'Weekly Purchases'!$B$2:$B$503,"&lt;="&amp;$A4)-SUMIFS('Weekly Purchases'!$N$2:$N$503,'Weekly Purchases'!$B$2:$B$503,"",'Weekly Purchases'!$A$2:$A$503,"&lt;="&amp;$A4))</f>
        <v>36812</v>
      </c>
      <c r="M4" s="15">
        <f>IF($A4="","",Settings!$B$4+SUMIFS($C$2:$C$495,$A$2:$A$495,"&lt;="&amp;$A4)-SUMIFS($K$2:$K$495,$A$2:$A$495,"&lt;="&amp;$A4)-SUMIFS('Weekly Purchases'!$O$2:$O$503,'Weekly Purchases'!$B$2:$B$503,"&lt;&gt;",'Weekly Purchases'!$B$2:$B$503,"&lt;="&amp;$A4)-SUMIFS('Weekly Purchases'!$O$2:$O$503,'Weekly Purchases'!$B$2:$B$503,"",'Weekly Purchases'!$A$2:$A$503,"&lt;="&amp;$A4))</f>
        <v>4500</v>
      </c>
      <c r="N4" s="15">
        <f t="shared" si="2"/>
        <v>41312</v>
      </c>
      <c r="O4" s="15">
        <f t="shared" si="3"/>
        <v>6060</v>
      </c>
      <c r="P4" s="19"/>
      <c r="Q4" s="10"/>
      <c r="R4" s="10"/>
      <c r="S4" s="10"/>
      <c r="T4" s="10"/>
      <c r="U4" s="10"/>
    </row>
    <row r="5" spans="1:21">
      <c r="A5" s="17">
        <v>46274</v>
      </c>
      <c r="B5" s="18">
        <v>12138</v>
      </c>
      <c r="C5" s="18">
        <v>500</v>
      </c>
      <c r="D5" s="15">
        <f t="shared" si="0"/>
        <v>12638</v>
      </c>
      <c r="E5" s="18">
        <v>800</v>
      </c>
      <c r="F5" s="18">
        <v>48</v>
      </c>
      <c r="G5" s="18">
        <v>0</v>
      </c>
      <c r="H5" s="18">
        <v>0</v>
      </c>
      <c r="I5" s="15">
        <f t="shared" si="1"/>
        <v>848</v>
      </c>
      <c r="J5" s="15">
        <v>848</v>
      </c>
      <c r="K5" s="15"/>
      <c r="L5" s="15">
        <f>IF($A5="","",Settings!$B$3+SUMIFS($B$2:$B$495,$A$2:$A$495,"&lt;="&amp;$A5)-SUMIFS($J$2:$J$495,$A$2:$A$495,"&lt;="&amp;$A5)-SUMIFS('Weekly Purchases'!$N$2:$N$503,'Weekly Purchases'!$B$2:$B$503,"&lt;&gt;",'Weekly Purchases'!$B$2:$B$503,"&lt;="&amp;$A5)-SUMIFS('Weekly Purchases'!$N$2:$N$503,'Weekly Purchases'!$B$2:$B$503,"",'Weekly Purchases'!$A$2:$A$503,"&lt;="&amp;$A5))</f>
        <v>48102</v>
      </c>
      <c r="M5" s="15">
        <f>IF($A5="","",Settings!$B$4+SUMIFS($C$2:$C$495,$A$2:$A$495,"&lt;="&amp;$A5)-SUMIFS($K$2:$K$495,$A$2:$A$495,"&lt;="&amp;$A5)-SUMIFS('Weekly Purchases'!$O$2:$O$503,'Weekly Purchases'!$B$2:$B$503,"&lt;&gt;",'Weekly Purchases'!$B$2:$B$503,"&lt;="&amp;$A5)-SUMIFS('Weekly Purchases'!$O$2:$O$503,'Weekly Purchases'!$B$2:$B$503,"",'Weekly Purchases'!$A$2:$A$503,"&lt;="&amp;$A5))</f>
        <v>5000</v>
      </c>
      <c r="N5" s="15">
        <f t="shared" si="2"/>
        <v>53102</v>
      </c>
      <c r="O5" s="15">
        <f t="shared" si="3"/>
        <v>11790</v>
      </c>
      <c r="P5" s="19"/>
      <c r="Q5" s="10"/>
      <c r="R5" s="10"/>
      <c r="S5" s="10"/>
      <c r="T5" s="10"/>
      <c r="U5" s="10"/>
    </row>
    <row r="6" spans="1:21">
      <c r="A6" s="17">
        <v>46275</v>
      </c>
      <c r="B6" s="18">
        <v>18992</v>
      </c>
      <c r="C6" s="18">
        <v>220</v>
      </c>
      <c r="D6" s="15">
        <f t="shared" si="0"/>
        <v>19212</v>
      </c>
      <c r="E6" s="18">
        <v>800</v>
      </c>
      <c r="F6" s="18">
        <v>48</v>
      </c>
      <c r="G6" s="18">
        <v>2000</v>
      </c>
      <c r="H6" s="18">
        <v>0</v>
      </c>
      <c r="I6" s="15">
        <f t="shared" si="1"/>
        <v>2848</v>
      </c>
      <c r="J6" s="15">
        <v>2848</v>
      </c>
      <c r="K6" s="15"/>
      <c r="L6" s="15">
        <f>IF($A6="","",Settings!$B$3+SUMIFS($B$2:$B$495,$A$2:$A$495,"&lt;="&amp;$A6)-SUMIFS($J$2:$J$495,$A$2:$A$495,"&lt;="&amp;$A6)-SUMIFS('Weekly Purchases'!$N$2:$N$503,'Weekly Purchases'!$B$2:$B$503,"&lt;&gt;",'Weekly Purchases'!$B$2:$B$503,"&lt;="&amp;$A6)-SUMIFS('Weekly Purchases'!$N$2:$N$503,'Weekly Purchases'!$B$2:$B$503,"",'Weekly Purchases'!$A$2:$A$503,"&lt;="&amp;$A6))</f>
        <v>64246</v>
      </c>
      <c r="M6" s="15">
        <f>IF($A6="","",Settings!$B$4+SUMIFS($C$2:$C$495,$A$2:$A$495,"&lt;="&amp;$A6)-SUMIFS($K$2:$K$495,$A$2:$A$495,"&lt;="&amp;$A6)-SUMIFS('Weekly Purchases'!$O$2:$O$503,'Weekly Purchases'!$B$2:$B$503,"&lt;&gt;",'Weekly Purchases'!$B$2:$B$503,"&lt;="&amp;$A6)-SUMIFS('Weekly Purchases'!$O$2:$O$503,'Weekly Purchases'!$B$2:$B$503,"",'Weekly Purchases'!$A$2:$A$503,"&lt;="&amp;$A6))</f>
        <v>5220</v>
      </c>
      <c r="N6" s="15">
        <f t="shared" si="2"/>
        <v>69466</v>
      </c>
      <c r="O6" s="15">
        <f t="shared" si="3"/>
        <v>16364</v>
      </c>
      <c r="P6" s="19"/>
      <c r="Q6" s="10"/>
      <c r="R6" s="10"/>
      <c r="S6" s="10"/>
      <c r="T6" s="10"/>
      <c r="U6" s="10"/>
    </row>
    <row r="7" spans="1:21">
      <c r="A7" s="17">
        <v>46276</v>
      </c>
      <c r="B7" s="18">
        <v>14899</v>
      </c>
      <c r="C7" s="18">
        <v>2950</v>
      </c>
      <c r="D7" s="15">
        <f t="shared" si="0"/>
        <v>17849</v>
      </c>
      <c r="E7" s="18">
        <v>800</v>
      </c>
      <c r="F7" s="18">
        <v>48</v>
      </c>
      <c r="G7" s="18">
        <v>0</v>
      </c>
      <c r="H7" s="18">
        <v>1586</v>
      </c>
      <c r="I7" s="15">
        <f t="shared" si="1"/>
        <v>2434</v>
      </c>
      <c r="J7" s="15">
        <v>2434</v>
      </c>
      <c r="K7" s="15"/>
      <c r="L7" s="15">
        <f>IF($A7="","",Settings!$B$3+SUMIFS($B$2:$B$495,$A$2:$A$495,"&lt;="&amp;$A7)-SUMIFS($J$2:$J$495,$A$2:$A$495,"&lt;="&amp;$A7)-SUMIFS('Weekly Purchases'!$N$2:$N$503,'Weekly Purchases'!$B$2:$B$503,"&lt;&gt;",'Weekly Purchases'!$B$2:$B$503,"&lt;="&amp;$A7)-SUMIFS('Weekly Purchases'!$N$2:$N$503,'Weekly Purchases'!$B$2:$B$503,"",'Weekly Purchases'!$A$2:$A$503,"&lt;="&amp;$A7))</f>
        <v>76711</v>
      </c>
      <c r="M7" s="15">
        <f>IF($A7="","",Settings!$B$4+SUMIFS($C$2:$C$495,$A$2:$A$495,"&lt;="&amp;$A7)-SUMIFS($K$2:$K$495,$A$2:$A$495,"&lt;="&amp;$A7)-SUMIFS('Weekly Purchases'!$O$2:$O$503,'Weekly Purchases'!$B$2:$B$503,"&lt;&gt;",'Weekly Purchases'!$B$2:$B$503,"&lt;="&amp;$A7)-SUMIFS('Weekly Purchases'!$O$2:$O$503,'Weekly Purchases'!$B$2:$B$503,"",'Weekly Purchases'!$A$2:$A$503,"&lt;="&amp;$A7))</f>
        <v>8170</v>
      </c>
      <c r="N7" s="15">
        <f t="shared" si="2"/>
        <v>84881</v>
      </c>
      <c r="O7" s="15">
        <f t="shared" si="3"/>
        <v>15415</v>
      </c>
      <c r="P7" s="19"/>
      <c r="Q7" s="10"/>
      <c r="R7" s="10"/>
      <c r="S7" s="10"/>
      <c r="T7" s="10"/>
      <c r="U7" s="10"/>
    </row>
    <row r="8" spans="1:21">
      <c r="A8" s="17">
        <v>46277</v>
      </c>
      <c r="B8" s="18">
        <v>33395</v>
      </c>
      <c r="C8" s="18">
        <v>1000</v>
      </c>
      <c r="D8" s="15">
        <f t="shared" si="0"/>
        <v>34395</v>
      </c>
      <c r="E8" s="18">
        <v>800</v>
      </c>
      <c r="F8" s="18">
        <v>52</v>
      </c>
      <c r="G8" s="18">
        <v>0</v>
      </c>
      <c r="H8" s="18">
        <v>0</v>
      </c>
      <c r="I8" s="15">
        <f t="shared" si="1"/>
        <v>852</v>
      </c>
      <c r="J8" s="15">
        <v>852</v>
      </c>
      <c r="K8" s="15"/>
      <c r="L8" s="15">
        <f>IF($A8="","",Settings!$B$3+SUMIFS($B$2:$B$495,$A$2:$A$495,"&lt;="&amp;$A8)-SUMIFS($J$2:$J$495,$A$2:$A$495,"&lt;="&amp;$A8)-SUMIFS('Weekly Purchases'!$N$2:$N$503,'Weekly Purchases'!$B$2:$B$503,"&lt;&gt;",'Weekly Purchases'!$B$2:$B$503,"&lt;="&amp;$A8)-SUMIFS('Weekly Purchases'!$N$2:$N$503,'Weekly Purchases'!$B$2:$B$503,"",'Weekly Purchases'!$A$2:$A$503,"&lt;="&amp;$A8))</f>
        <v>109254</v>
      </c>
      <c r="M8" s="15">
        <f>IF($A8="","",Settings!$B$4+SUMIFS($C$2:$C$495,$A$2:$A$495,"&lt;="&amp;$A8)-SUMIFS($K$2:$K$495,$A$2:$A$495,"&lt;="&amp;$A8)-SUMIFS('Weekly Purchases'!$O$2:$O$503,'Weekly Purchases'!$B$2:$B$503,"&lt;&gt;",'Weekly Purchases'!$B$2:$B$503,"&lt;="&amp;$A8)-SUMIFS('Weekly Purchases'!$O$2:$O$503,'Weekly Purchases'!$B$2:$B$503,"",'Weekly Purchases'!$A$2:$A$503,"&lt;="&amp;$A8))</f>
        <v>9170</v>
      </c>
      <c r="N8" s="15">
        <f t="shared" si="2"/>
        <v>118424</v>
      </c>
      <c r="O8" s="15">
        <f t="shared" si="3"/>
        <v>33543</v>
      </c>
      <c r="P8" s="19"/>
      <c r="Q8" s="10"/>
      <c r="R8" s="10"/>
      <c r="S8" s="10"/>
      <c r="T8" s="10"/>
      <c r="U8" s="10"/>
    </row>
    <row r="9" spans="1:21">
      <c r="A9" s="17">
        <v>46278</v>
      </c>
      <c r="B9" s="18">
        <v>21809</v>
      </c>
      <c r="C9" s="18">
        <v>0</v>
      </c>
      <c r="D9" s="15">
        <f t="shared" si="0"/>
        <v>21809</v>
      </c>
      <c r="E9" s="18">
        <v>800</v>
      </c>
      <c r="F9" s="18">
        <v>0</v>
      </c>
      <c r="G9" s="18">
        <v>0</v>
      </c>
      <c r="H9" s="18">
        <v>0</v>
      </c>
      <c r="I9" s="15">
        <f t="shared" si="1"/>
        <v>800</v>
      </c>
      <c r="J9" s="15">
        <v>800</v>
      </c>
      <c r="K9" s="15"/>
      <c r="L9" s="15">
        <f>IF($A9="","",Settings!$B$3+SUMIFS($B$2:$B$495,$A$2:$A$495,"&lt;="&amp;$A9)-SUMIFS($J$2:$J$495,$A$2:$A$495,"&lt;="&amp;$A9)-SUMIFS('Weekly Purchases'!$N$2:$N$503,'Weekly Purchases'!$B$2:$B$503,"&lt;&gt;",'Weekly Purchases'!$B$2:$B$503,"&lt;="&amp;$A9)-SUMIFS('Weekly Purchases'!$N$2:$N$503,'Weekly Purchases'!$B$2:$B$503,"",'Weekly Purchases'!$A$2:$A$503,"&lt;="&amp;$A9))</f>
        <v>130263</v>
      </c>
      <c r="M9" s="15">
        <f>IF($A9="","",Settings!$B$4+SUMIFS($C$2:$C$495,$A$2:$A$495,"&lt;="&amp;$A9)-SUMIFS($K$2:$K$495,$A$2:$A$495,"&lt;="&amp;$A9)-SUMIFS('Weekly Purchases'!$O$2:$O$503,'Weekly Purchases'!$B$2:$B$503,"&lt;&gt;",'Weekly Purchases'!$B$2:$B$503,"&lt;="&amp;$A9)-SUMIFS('Weekly Purchases'!$O$2:$O$503,'Weekly Purchases'!$B$2:$B$503,"",'Weekly Purchases'!$A$2:$A$503,"&lt;="&amp;$A9))</f>
        <v>9170</v>
      </c>
      <c r="N9" s="15">
        <f t="shared" si="2"/>
        <v>139433</v>
      </c>
      <c r="O9" s="15">
        <f t="shared" si="3"/>
        <v>21009</v>
      </c>
      <c r="P9" s="19"/>
      <c r="Q9" s="10"/>
      <c r="R9" s="10"/>
      <c r="S9" s="10"/>
      <c r="T9" s="10"/>
      <c r="U9" s="10"/>
    </row>
    <row r="10" spans="1:21">
      <c r="A10" s="17">
        <v>46279</v>
      </c>
      <c r="B10" s="18"/>
      <c r="C10" s="18"/>
      <c r="D10" s="15">
        <f t="shared" si="0"/>
        <v>0</v>
      </c>
      <c r="E10" s="18"/>
      <c r="F10" s="18"/>
      <c r="G10" s="18"/>
      <c r="H10" s="18"/>
      <c r="I10" s="15">
        <f t="shared" si="1"/>
        <v>0</v>
      </c>
      <c r="J10" s="15"/>
      <c r="K10" s="15"/>
      <c r="L10" s="15">
        <f>IF($A10="","",Settings!$B$3+SUMIFS($B$2:$B$495,$A$2:$A$495,"&lt;="&amp;$A10)-SUMIFS($J$2:$J$495,$A$2:$A$495,"&lt;="&amp;$A10)-SUMIFS('Weekly Purchases'!$N$2:$N$503,'Weekly Purchases'!$B$2:$B$503,"&lt;&gt;",'Weekly Purchases'!$B$2:$B$503,"&lt;="&amp;$A10)-SUMIFS('Weekly Purchases'!$N$2:$N$503,'Weekly Purchases'!$B$2:$B$503,"",'Weekly Purchases'!$A$2:$A$503,"&lt;="&amp;$A10))</f>
        <v>130263</v>
      </c>
      <c r="M10" s="15">
        <f>IF($A10="","",Settings!$B$4+SUMIFS($C$2:$C$495,$A$2:$A$495,"&lt;="&amp;$A10)-SUMIFS($K$2:$K$495,$A$2:$A$495,"&lt;="&amp;$A10)-SUMIFS('Weekly Purchases'!$O$2:$O$503,'Weekly Purchases'!$B$2:$B$503,"&lt;&gt;",'Weekly Purchases'!$B$2:$B$503,"&lt;="&amp;$A10)-SUMIFS('Weekly Purchases'!$O$2:$O$503,'Weekly Purchases'!$B$2:$B$503,"",'Weekly Purchases'!$A$2:$A$503,"&lt;="&amp;$A10))</f>
        <v>9170</v>
      </c>
      <c r="N10" s="15">
        <f t="shared" si="2"/>
        <v>139433</v>
      </c>
      <c r="O10" s="15">
        <f t="shared" si="3"/>
        <v>0</v>
      </c>
      <c r="P10" s="19"/>
      <c r="Q10" s="10"/>
      <c r="R10" s="10"/>
      <c r="S10" s="10"/>
      <c r="T10" s="10"/>
      <c r="U10" s="10"/>
    </row>
    <row r="11" spans="1:21">
      <c r="A11" s="17">
        <v>46280</v>
      </c>
      <c r="B11" s="18"/>
      <c r="C11" s="18"/>
      <c r="D11" s="15">
        <f t="shared" si="0"/>
        <v>0</v>
      </c>
      <c r="E11" s="18"/>
      <c r="F11" s="18"/>
      <c r="G11" s="18"/>
      <c r="H11" s="18"/>
      <c r="I11" s="15">
        <f t="shared" si="1"/>
        <v>0</v>
      </c>
      <c r="J11" s="15"/>
      <c r="K11" s="15"/>
      <c r="L11" s="15">
        <f>IF($A11="","",Settings!$B$3+SUMIFS($B$2:$B$495,$A$2:$A$495,"&lt;="&amp;$A11)-SUMIFS($J$2:$J$495,$A$2:$A$495,"&lt;="&amp;$A11)-SUMIFS('Weekly Purchases'!$N$2:$N$503,'Weekly Purchases'!$B$2:$B$503,"&lt;&gt;",'Weekly Purchases'!$B$2:$B$503,"&lt;="&amp;$A11)-SUMIFS('Weekly Purchases'!$N$2:$N$503,'Weekly Purchases'!$B$2:$B$503,"",'Weekly Purchases'!$A$2:$A$503,"&lt;="&amp;$A11))</f>
        <v>130263</v>
      </c>
      <c r="M11" s="15">
        <f>IF($A11="","",Settings!$B$4+SUMIFS($C$2:$C$495,$A$2:$A$495,"&lt;="&amp;$A11)-SUMIFS($K$2:$K$495,$A$2:$A$495,"&lt;="&amp;$A11)-SUMIFS('Weekly Purchases'!$O$2:$O$503,'Weekly Purchases'!$B$2:$B$503,"&lt;&gt;",'Weekly Purchases'!$B$2:$B$503,"&lt;="&amp;$A11)-SUMIFS('Weekly Purchases'!$O$2:$O$503,'Weekly Purchases'!$B$2:$B$503,"",'Weekly Purchases'!$A$2:$A$503,"&lt;="&amp;$A11))</f>
        <v>9170</v>
      </c>
      <c r="N11" s="15">
        <f t="shared" si="2"/>
        <v>139433</v>
      </c>
      <c r="O11" s="15">
        <f t="shared" si="3"/>
        <v>0</v>
      </c>
      <c r="P11" s="19"/>
      <c r="Q11" s="10"/>
      <c r="R11" s="10"/>
      <c r="S11" s="10"/>
      <c r="T11" s="10"/>
      <c r="U11" s="10"/>
    </row>
    <row r="12" spans="1:21">
      <c r="A12" s="17">
        <v>46281</v>
      </c>
      <c r="B12" s="18"/>
      <c r="C12" s="18"/>
      <c r="D12" s="15">
        <f t="shared" si="0"/>
        <v>0</v>
      </c>
      <c r="E12" s="18"/>
      <c r="F12" s="18"/>
      <c r="G12" s="18"/>
      <c r="H12" s="18"/>
      <c r="I12" s="15">
        <f t="shared" si="1"/>
        <v>0</v>
      </c>
      <c r="J12" s="15"/>
      <c r="K12" s="15"/>
      <c r="L12" s="15">
        <f>IF($A12="","",Settings!$B$3+SUMIFS($B$2:$B$495,$A$2:$A$495,"&lt;="&amp;$A12)-SUMIFS($J$2:$J$495,$A$2:$A$495,"&lt;="&amp;$A12)-SUMIFS('Weekly Purchases'!$N$2:$N$503,'Weekly Purchases'!$B$2:$B$503,"&lt;&gt;",'Weekly Purchases'!$B$2:$B$503,"&lt;="&amp;$A12)-SUMIFS('Weekly Purchases'!$N$2:$N$503,'Weekly Purchases'!$B$2:$B$503,"",'Weekly Purchases'!$A$2:$A$503,"&lt;="&amp;$A12))</f>
        <v>130263</v>
      </c>
      <c r="M12" s="15">
        <f>IF($A12="","",Settings!$B$4+SUMIFS($C$2:$C$495,$A$2:$A$495,"&lt;="&amp;$A12)-SUMIFS($K$2:$K$495,$A$2:$A$495,"&lt;="&amp;$A12)-SUMIFS('Weekly Purchases'!$O$2:$O$503,'Weekly Purchases'!$B$2:$B$503,"&lt;&gt;",'Weekly Purchases'!$B$2:$B$503,"&lt;="&amp;$A12)-SUMIFS('Weekly Purchases'!$O$2:$O$503,'Weekly Purchases'!$B$2:$B$503,"",'Weekly Purchases'!$A$2:$A$503,"&lt;="&amp;$A12))</f>
        <v>9170</v>
      </c>
      <c r="N12" s="15">
        <f t="shared" si="2"/>
        <v>139433</v>
      </c>
      <c r="O12" s="15">
        <f t="shared" si="3"/>
        <v>0</v>
      </c>
      <c r="P12" s="19"/>
      <c r="Q12" s="10"/>
      <c r="R12" s="10"/>
      <c r="S12" s="10"/>
      <c r="T12" s="10"/>
      <c r="U12" s="10"/>
    </row>
    <row r="13" spans="1:21">
      <c r="A13" s="17">
        <v>46282</v>
      </c>
      <c r="B13" s="18"/>
      <c r="C13" s="18"/>
      <c r="D13" s="15">
        <f t="shared" si="0"/>
        <v>0</v>
      </c>
      <c r="E13" s="18"/>
      <c r="F13" s="18"/>
      <c r="G13" s="18"/>
      <c r="H13" s="18"/>
      <c r="I13" s="15">
        <f t="shared" si="1"/>
        <v>0</v>
      </c>
      <c r="J13" s="15"/>
      <c r="K13" s="15"/>
      <c r="L13" s="15">
        <f>IF($A13="","",Settings!$B$3+SUMIFS($B$2:$B$495,$A$2:$A$495,"&lt;="&amp;$A13)-SUMIFS($J$2:$J$495,$A$2:$A$495,"&lt;="&amp;$A13)-SUMIFS('Weekly Purchases'!$N$2:$N$503,'Weekly Purchases'!$B$2:$B$503,"&lt;&gt;",'Weekly Purchases'!$B$2:$B$503,"&lt;="&amp;$A13)-SUMIFS('Weekly Purchases'!$N$2:$N$503,'Weekly Purchases'!$B$2:$B$503,"",'Weekly Purchases'!$A$2:$A$503,"&lt;="&amp;$A13))</f>
        <v>130263</v>
      </c>
      <c r="M13" s="15">
        <f>IF($A13="","",Settings!$B$4+SUMIFS($C$2:$C$495,$A$2:$A$495,"&lt;="&amp;$A13)-SUMIFS($K$2:$K$495,$A$2:$A$495,"&lt;="&amp;$A13)-SUMIFS('Weekly Purchases'!$O$2:$O$503,'Weekly Purchases'!$B$2:$B$503,"&lt;&gt;",'Weekly Purchases'!$B$2:$B$503,"&lt;="&amp;$A13)-SUMIFS('Weekly Purchases'!$O$2:$O$503,'Weekly Purchases'!$B$2:$B$503,"",'Weekly Purchases'!$A$2:$A$503,"&lt;="&amp;$A13))</f>
        <v>9170</v>
      </c>
      <c r="N13" s="15">
        <f t="shared" si="2"/>
        <v>139433</v>
      </c>
      <c r="O13" s="15">
        <f t="shared" si="3"/>
        <v>0</v>
      </c>
      <c r="P13" s="19"/>
      <c r="Q13" s="10"/>
      <c r="R13" s="10"/>
      <c r="S13" s="10"/>
      <c r="T13" s="10"/>
      <c r="U13" s="10"/>
    </row>
    <row r="14" spans="1:21">
      <c r="A14" s="17">
        <v>46283</v>
      </c>
      <c r="B14" s="18">
        <v>9420</v>
      </c>
      <c r="C14" s="18">
        <v>5400</v>
      </c>
      <c r="D14" s="15">
        <f t="shared" si="0"/>
        <v>14820</v>
      </c>
      <c r="E14" s="18">
        <v>800</v>
      </c>
      <c r="F14" s="18">
        <v>0</v>
      </c>
      <c r="G14" s="18">
        <v>0</v>
      </c>
      <c r="H14" s="18">
        <v>0</v>
      </c>
      <c r="I14" s="15">
        <f t="shared" si="1"/>
        <v>800</v>
      </c>
      <c r="J14" s="15">
        <v>800</v>
      </c>
      <c r="K14" s="15"/>
      <c r="L14" s="15">
        <f>IF($A14="","",Settings!$B$3+SUMIFS($B$2:$B$495,$A$2:$A$495,"&lt;="&amp;$A14)-SUMIFS($J$2:$J$495,$A$2:$A$495,"&lt;="&amp;$A14)-SUMIFS('Weekly Purchases'!$N$2:$N$503,'Weekly Purchases'!$B$2:$B$503,"&lt;&gt;",'Weekly Purchases'!$B$2:$B$503,"&lt;="&amp;$A14)-SUMIFS('Weekly Purchases'!$N$2:$N$503,'Weekly Purchases'!$B$2:$B$503,"",'Weekly Purchases'!$A$2:$A$503,"&lt;="&amp;$A14))</f>
        <v>138883</v>
      </c>
      <c r="M14" s="15">
        <f>IF($A14="","",Settings!$B$4+SUMIFS($C$2:$C$495,$A$2:$A$495,"&lt;="&amp;$A14)-SUMIFS($K$2:$K$495,$A$2:$A$495,"&lt;="&amp;$A14)-SUMIFS('Weekly Purchases'!$O$2:$O$503,'Weekly Purchases'!$B$2:$B$503,"&lt;&gt;",'Weekly Purchases'!$B$2:$B$503,"&lt;="&amp;$A14)-SUMIFS('Weekly Purchases'!$O$2:$O$503,'Weekly Purchases'!$B$2:$B$503,"",'Weekly Purchases'!$A$2:$A$503,"&lt;="&amp;$A14))</f>
        <v>14570</v>
      </c>
      <c r="N14" s="15">
        <f t="shared" si="2"/>
        <v>153453</v>
      </c>
      <c r="O14" s="15">
        <f t="shared" si="3"/>
        <v>14020</v>
      </c>
      <c r="P14" s="19"/>
      <c r="Q14" s="10"/>
      <c r="R14" s="10"/>
      <c r="S14" s="10"/>
      <c r="T14" s="10"/>
      <c r="U14" s="10"/>
    </row>
    <row r="15" spans="1:21">
      <c r="A15" s="17">
        <v>46284</v>
      </c>
      <c r="B15" s="18">
        <v>22529</v>
      </c>
      <c r="C15" s="18">
        <v>2000</v>
      </c>
      <c r="D15" s="15">
        <f t="shared" si="0"/>
        <v>24529</v>
      </c>
      <c r="E15" s="18">
        <v>800</v>
      </c>
      <c r="F15" s="18"/>
      <c r="G15" s="18"/>
      <c r="H15" s="18">
        <v>500</v>
      </c>
      <c r="I15" s="15">
        <f t="shared" si="1"/>
        <v>1300</v>
      </c>
      <c r="J15" s="15">
        <v>1300</v>
      </c>
      <c r="K15" s="15"/>
      <c r="L15" s="15">
        <f>IF($A15="","",Settings!$B$3+SUMIFS($B$2:$B$495,$A$2:$A$495,"&lt;="&amp;$A15)-SUMIFS($J$2:$J$495,$A$2:$A$495,"&lt;="&amp;$A15)-SUMIFS('Weekly Purchases'!$N$2:$N$503,'Weekly Purchases'!$B$2:$B$503,"&lt;&gt;",'Weekly Purchases'!$B$2:$B$503,"&lt;="&amp;$A15)-SUMIFS('Weekly Purchases'!$N$2:$N$503,'Weekly Purchases'!$B$2:$B$503,"",'Weekly Purchases'!$A$2:$A$503,"&lt;="&amp;$A15))</f>
        <v>160112</v>
      </c>
      <c r="M15" s="15">
        <f>IF($A15="","",Settings!$B$4+SUMIFS($C$2:$C$495,$A$2:$A$495,"&lt;="&amp;$A15)-SUMIFS($K$2:$K$495,$A$2:$A$495,"&lt;="&amp;$A15)-SUMIFS('Weekly Purchases'!$O$2:$O$503,'Weekly Purchases'!$B$2:$B$503,"&lt;&gt;",'Weekly Purchases'!$B$2:$B$503,"&lt;="&amp;$A15)-SUMIFS('Weekly Purchases'!$O$2:$O$503,'Weekly Purchases'!$B$2:$B$503,"",'Weekly Purchases'!$A$2:$A$503,"&lt;="&amp;$A15))</f>
        <v>16570</v>
      </c>
      <c r="N15" s="15">
        <f t="shared" si="2"/>
        <v>176682</v>
      </c>
      <c r="O15" s="15">
        <f t="shared" si="3"/>
        <v>23229</v>
      </c>
      <c r="P15" s="19"/>
      <c r="Q15" s="10"/>
      <c r="R15" s="10"/>
      <c r="S15" s="10"/>
      <c r="T15" s="10"/>
      <c r="U15" s="10"/>
    </row>
    <row r="16" spans="1:21">
      <c r="A16" s="17">
        <v>46285</v>
      </c>
      <c r="B16" s="18">
        <v>14726</v>
      </c>
      <c r="C16" s="18">
        <v>1000</v>
      </c>
      <c r="D16" s="15">
        <f t="shared" si="0"/>
        <v>15726</v>
      </c>
      <c r="E16" s="18">
        <v>800</v>
      </c>
      <c r="F16" s="18">
        <v>52</v>
      </c>
      <c r="G16" s="18">
        <v>0</v>
      </c>
      <c r="H16" s="18">
        <v>1771</v>
      </c>
      <c r="I16" s="15">
        <f t="shared" si="1"/>
        <v>2623</v>
      </c>
      <c r="J16" s="15">
        <v>2623</v>
      </c>
      <c r="K16" s="15"/>
      <c r="L16" s="15">
        <f>IF($A16="","",Settings!$B$3+SUMIFS($B$2:$B$495,$A$2:$A$495,"&lt;="&amp;$A16)-SUMIFS($J$2:$J$495,$A$2:$A$495,"&lt;="&amp;$A16)-SUMIFS('Weekly Purchases'!$N$2:$N$503,'Weekly Purchases'!$B$2:$B$503,"&lt;&gt;",'Weekly Purchases'!$B$2:$B$503,"&lt;="&amp;$A16)-SUMIFS('Weekly Purchases'!$N$2:$N$503,'Weekly Purchases'!$B$2:$B$503,"",'Weekly Purchases'!$A$2:$A$503,"&lt;="&amp;$A16))</f>
        <v>172215</v>
      </c>
      <c r="M16" s="15">
        <f>IF($A16="","",Settings!$B$4+SUMIFS($C$2:$C$495,$A$2:$A$495,"&lt;="&amp;$A16)-SUMIFS($K$2:$K$495,$A$2:$A$495,"&lt;="&amp;$A16)-SUMIFS('Weekly Purchases'!$O$2:$O$503,'Weekly Purchases'!$B$2:$B$503,"&lt;&gt;",'Weekly Purchases'!$B$2:$B$503,"&lt;="&amp;$A16)-SUMIFS('Weekly Purchases'!$O$2:$O$503,'Weekly Purchases'!$B$2:$B$503,"",'Weekly Purchases'!$A$2:$A$503,"&lt;="&amp;$A16))</f>
        <v>17570</v>
      </c>
      <c r="N16" s="15">
        <f t="shared" si="2"/>
        <v>189785</v>
      </c>
      <c r="O16" s="15">
        <f t="shared" si="3"/>
        <v>13103</v>
      </c>
      <c r="P16" s="19"/>
      <c r="Q16" s="10"/>
      <c r="R16" s="10"/>
      <c r="S16" s="10"/>
      <c r="T16" s="10"/>
      <c r="U16" s="10"/>
    </row>
    <row r="17" spans="1:21">
      <c r="A17" s="17">
        <v>46286</v>
      </c>
      <c r="B17" s="18"/>
      <c r="C17" s="18"/>
      <c r="D17" s="15">
        <f t="shared" si="0"/>
        <v>0</v>
      </c>
      <c r="E17" s="18"/>
      <c r="F17" s="18"/>
      <c r="G17" s="18"/>
      <c r="H17" s="18"/>
      <c r="I17" s="15">
        <f t="shared" si="1"/>
        <v>0</v>
      </c>
      <c r="J17" s="15"/>
      <c r="K17" s="15"/>
      <c r="L17" s="15">
        <f>IF($A17="","",Settings!$B$3+SUMIFS($B$2:$B$495,$A$2:$A$495,"&lt;="&amp;$A17)-SUMIFS($J$2:$J$495,$A$2:$A$495,"&lt;="&amp;$A17)-SUMIFS('Weekly Purchases'!$N$2:$N$503,'Weekly Purchases'!$B$2:$B$503,"&lt;&gt;",'Weekly Purchases'!$B$2:$B$503,"&lt;="&amp;$A17)-SUMIFS('Weekly Purchases'!$N$2:$N$503,'Weekly Purchases'!$B$2:$B$503,"",'Weekly Purchases'!$A$2:$A$503,"&lt;="&amp;$A17))</f>
        <v>172215</v>
      </c>
      <c r="M17" s="15">
        <f>IF($A17="","",Settings!$B$4+SUMIFS($C$2:$C$495,$A$2:$A$495,"&lt;="&amp;$A17)-SUMIFS($K$2:$K$495,$A$2:$A$495,"&lt;="&amp;$A17)-SUMIFS('Weekly Purchases'!$O$2:$O$503,'Weekly Purchases'!$B$2:$B$503,"&lt;&gt;",'Weekly Purchases'!$B$2:$B$503,"&lt;="&amp;$A17)-SUMIFS('Weekly Purchases'!$O$2:$O$503,'Weekly Purchases'!$B$2:$B$503,"",'Weekly Purchases'!$A$2:$A$503,"&lt;="&amp;$A17))</f>
        <v>17570</v>
      </c>
      <c r="N17" s="15">
        <f t="shared" si="2"/>
        <v>189785</v>
      </c>
      <c r="O17" s="15">
        <f t="shared" si="3"/>
        <v>0</v>
      </c>
      <c r="P17" s="19"/>
      <c r="Q17" s="10"/>
      <c r="R17" s="10"/>
      <c r="S17" s="10"/>
      <c r="T17" s="10"/>
      <c r="U17" s="10"/>
    </row>
    <row r="18" spans="1:21">
      <c r="A18" s="17">
        <v>46287</v>
      </c>
      <c r="B18" s="18">
        <v>18110</v>
      </c>
      <c r="C18" s="18">
        <v>0</v>
      </c>
      <c r="D18" s="15">
        <f t="shared" si="0"/>
        <v>18110</v>
      </c>
      <c r="E18" s="18">
        <v>800</v>
      </c>
      <c r="F18" s="18">
        <v>52</v>
      </c>
      <c r="G18" s="18">
        <v>0</v>
      </c>
      <c r="H18" s="18">
        <v>0</v>
      </c>
      <c r="I18" s="15">
        <f t="shared" si="1"/>
        <v>852</v>
      </c>
      <c r="J18" s="15">
        <v>852</v>
      </c>
      <c r="K18" s="15">
        <v>0</v>
      </c>
      <c r="L18" s="15">
        <f>IF($A18="","",Settings!$B$3+SUMIFS($B$2:$B$495,$A$2:$A$495,"&lt;="&amp;$A18)-SUMIFS($J$2:$J$495,$A$2:$A$495,"&lt;="&amp;$A18)-SUMIFS('Weekly Purchases'!$N$2:$N$503,'Weekly Purchases'!$B$2:$B$503,"&lt;&gt;",'Weekly Purchases'!$B$2:$B$503,"&lt;="&amp;$A18)-SUMIFS('Weekly Purchases'!$N$2:$N$503,'Weekly Purchases'!$B$2:$B$503,"",'Weekly Purchases'!$A$2:$A$503,"&lt;="&amp;$A18))</f>
        <v>189473</v>
      </c>
      <c r="M18" s="15">
        <f>IF($A18="","",Settings!$B$4+SUMIFS($C$2:$C$495,$A$2:$A$495,"&lt;="&amp;$A18)-SUMIFS($K$2:$K$495,$A$2:$A$495,"&lt;="&amp;$A18)-SUMIFS('Weekly Purchases'!$O$2:$O$503,'Weekly Purchases'!$B$2:$B$503,"&lt;&gt;",'Weekly Purchases'!$B$2:$B$503,"&lt;="&amp;$A18)-SUMIFS('Weekly Purchases'!$O$2:$O$503,'Weekly Purchases'!$B$2:$B$503,"",'Weekly Purchases'!$A$2:$A$503,"&lt;="&amp;$A18))</f>
        <v>17570</v>
      </c>
      <c r="N18" s="15">
        <f t="shared" si="2"/>
        <v>207043</v>
      </c>
      <c r="O18" s="15">
        <f t="shared" si="3"/>
        <v>17258</v>
      </c>
      <c r="P18" s="19"/>
      <c r="Q18" s="10"/>
      <c r="R18" s="10"/>
      <c r="S18" s="10"/>
      <c r="T18" s="10"/>
      <c r="U18" s="10"/>
    </row>
    <row r="19" spans="1:21">
      <c r="A19" s="17">
        <v>46288</v>
      </c>
      <c r="B19" s="18">
        <v>14560</v>
      </c>
      <c r="C19" s="18">
        <v>0</v>
      </c>
      <c r="D19" s="15">
        <f t="shared" si="0"/>
        <v>14560</v>
      </c>
      <c r="E19" s="18">
        <v>800</v>
      </c>
      <c r="F19" s="18">
        <v>20</v>
      </c>
      <c r="G19" s="18">
        <v>475</v>
      </c>
      <c r="H19" s="18">
        <v>0</v>
      </c>
      <c r="I19" s="15">
        <f t="shared" si="1"/>
        <v>1295</v>
      </c>
      <c r="J19" s="15">
        <v>1295</v>
      </c>
      <c r="K19" s="15">
        <v>0</v>
      </c>
      <c r="L19" s="15">
        <f>IF($A19="","",Settings!$B$3+SUMIFS($B$2:$B$495,$A$2:$A$495,"&lt;="&amp;$A19)-SUMIFS($J$2:$J$495,$A$2:$A$495,"&lt;="&amp;$A19)-SUMIFS('Weekly Purchases'!$N$2:$N$503,'Weekly Purchases'!$B$2:$B$503,"&lt;&gt;",'Weekly Purchases'!$B$2:$B$503,"&lt;="&amp;$A19)-SUMIFS('Weekly Purchases'!$N$2:$N$503,'Weekly Purchases'!$B$2:$B$503,"",'Weekly Purchases'!$A$2:$A$503,"&lt;="&amp;$A19))</f>
        <v>202738</v>
      </c>
      <c r="M19" s="15">
        <f>IF($A19="","",Settings!$B$4+SUMIFS($C$2:$C$495,$A$2:$A$495,"&lt;="&amp;$A19)-SUMIFS($K$2:$K$495,$A$2:$A$495,"&lt;="&amp;$A19)-SUMIFS('Weekly Purchases'!$O$2:$O$503,'Weekly Purchases'!$B$2:$B$503,"&lt;&gt;",'Weekly Purchases'!$B$2:$B$503,"&lt;="&amp;$A19)-SUMIFS('Weekly Purchases'!$O$2:$O$503,'Weekly Purchases'!$B$2:$B$503,"",'Weekly Purchases'!$A$2:$A$503,"&lt;="&amp;$A19))</f>
        <v>17570</v>
      </c>
      <c r="N19" s="15">
        <f t="shared" si="2"/>
        <v>220308</v>
      </c>
      <c r="O19" s="15">
        <f t="shared" si="3"/>
        <v>13265</v>
      </c>
      <c r="P19" s="19"/>
      <c r="Q19" s="10"/>
      <c r="R19" s="10"/>
      <c r="S19" s="10"/>
      <c r="T19" s="10"/>
      <c r="U19" s="10"/>
    </row>
    <row r="20" spans="1:21">
      <c r="A20" s="17">
        <v>46289</v>
      </c>
      <c r="B20" s="18">
        <v>5399</v>
      </c>
      <c r="C20" s="18">
        <v>1000</v>
      </c>
      <c r="D20" s="15">
        <f t="shared" si="0"/>
        <v>6399</v>
      </c>
      <c r="E20" s="18">
        <v>800</v>
      </c>
      <c r="F20" s="18">
        <v>2032</v>
      </c>
      <c r="G20" s="18">
        <v>2000</v>
      </c>
      <c r="H20" s="18">
        <v>263</v>
      </c>
      <c r="I20" s="15">
        <f t="shared" si="1"/>
        <v>5095</v>
      </c>
      <c r="J20" s="15">
        <v>5095</v>
      </c>
      <c r="K20" s="15">
        <v>0</v>
      </c>
      <c r="L20" s="15">
        <f>IF($A20="","",Settings!$B$3+SUMIFS($B$2:$B$495,$A$2:$A$495,"&lt;="&amp;$A20)-SUMIFS($J$2:$J$495,$A$2:$A$495,"&lt;="&amp;$A20)-SUMIFS('Weekly Purchases'!$N$2:$N$503,'Weekly Purchases'!$B$2:$B$503,"&lt;&gt;",'Weekly Purchases'!$B$2:$B$503,"&lt;="&amp;$A20)-SUMIFS('Weekly Purchases'!$N$2:$N$503,'Weekly Purchases'!$B$2:$B$503,"",'Weekly Purchases'!$A$2:$A$503,"&lt;="&amp;$A20))</f>
        <v>9216</v>
      </c>
      <c r="M20" s="15">
        <f>IF($A20="","",Settings!$B$4+SUMIFS($C$2:$C$495,$A$2:$A$495,"&lt;="&amp;$A20)-SUMIFS($K$2:$K$495,$A$2:$A$495,"&lt;="&amp;$A20)-SUMIFS('Weekly Purchases'!$O$2:$O$503,'Weekly Purchases'!$B$2:$B$503,"&lt;&gt;",'Weekly Purchases'!$B$2:$B$503,"&lt;="&amp;$A20)-SUMIFS('Weekly Purchases'!$O$2:$O$503,'Weekly Purchases'!$B$2:$B$503,"",'Weekly Purchases'!$A$2:$A$503,"&lt;="&amp;$A20))</f>
        <v>18570</v>
      </c>
      <c r="N20" s="15">
        <f t="shared" si="2"/>
        <v>27786</v>
      </c>
      <c r="O20" s="15">
        <f t="shared" si="3"/>
        <v>1304</v>
      </c>
      <c r="P20" s="19"/>
      <c r="Q20" s="10"/>
      <c r="R20" s="10"/>
      <c r="S20" s="10"/>
      <c r="T20" s="10"/>
      <c r="U20" s="10"/>
    </row>
    <row r="21" spans="1:21">
      <c r="A21" s="17"/>
      <c r="B21" s="18"/>
      <c r="C21" s="18"/>
      <c r="D21" s="15" t="str">
        <f t="shared" si="0"/>
        <v/>
      </c>
      <c r="E21" s="18"/>
      <c r="F21" s="18"/>
      <c r="G21" s="18"/>
      <c r="H21" s="18"/>
      <c r="I21" s="15" t="str">
        <f t="shared" si="1"/>
        <v/>
      </c>
      <c r="J21" s="15"/>
      <c r="K21" s="15"/>
      <c r="L21" s="15" t="str">
        <f>IF($A21="","",Settings!$B$3+SUMIFS($B$2:$B$495,$A$2:$A$495,"&lt;="&amp;$A21)-SUMIFS($J$2:$J$495,$A$2:$A$495,"&lt;="&amp;$A21)-SUMIFS('Weekly Purchases'!$N$2:$N$503,'Weekly Purchases'!$B$2:$B$503,"&lt;&gt;",'Weekly Purchases'!$B$2:$B$503,"&lt;="&amp;$A21)-SUMIFS('Weekly Purchases'!$N$2:$N$503,'Weekly Purchases'!$B$2:$B$503,"",'Weekly Purchases'!$A$2:$A$503,"&lt;="&amp;$A21))</f>
        <v/>
      </c>
      <c r="M21" s="15" t="str">
        <f>IF($A21="","",Settings!$B$4+SUMIFS($C$2:$C$495,$A$2:$A$495,"&lt;="&amp;$A21)-SUMIFS($K$2:$K$495,$A$2:$A$495,"&lt;="&amp;$A21)-SUMIFS('Weekly Purchases'!$O$2:$O$503,'Weekly Purchases'!$B$2:$B$503,"&lt;&gt;",'Weekly Purchases'!$B$2:$B$503,"&lt;="&amp;$A21)-SUMIFS('Weekly Purchases'!$O$2:$O$503,'Weekly Purchases'!$B$2:$B$503,"",'Weekly Purchases'!$A$2:$A$503,"&lt;="&amp;$A21))</f>
        <v/>
      </c>
      <c r="N21" s="15" t="str">
        <f t="shared" si="2"/>
        <v/>
      </c>
      <c r="O21" s="15" t="str">
        <f t="shared" si="3"/>
        <v/>
      </c>
      <c r="P21" s="19"/>
      <c r="Q21" s="10"/>
      <c r="R21" s="10"/>
      <c r="S21" s="10"/>
      <c r="T21" s="10"/>
      <c r="U21" s="10"/>
    </row>
    <row r="22" spans="1:21">
      <c r="A22" s="17"/>
      <c r="B22" s="18"/>
      <c r="C22" s="18"/>
      <c r="D22" s="15" t="str">
        <f t="shared" si="0"/>
        <v/>
      </c>
      <c r="E22" s="18"/>
      <c r="F22" s="18"/>
      <c r="G22" s="18"/>
      <c r="H22" s="18"/>
      <c r="I22" s="15" t="str">
        <f t="shared" si="1"/>
        <v/>
      </c>
      <c r="J22" s="15"/>
      <c r="K22" s="15"/>
      <c r="L22" s="15" t="str">
        <f>IF($A22="","",Settings!$B$3+SUMIFS($B$2:$B$495,$A$2:$A$495,"&lt;="&amp;$A22)-SUMIFS($J$2:$J$495,$A$2:$A$495,"&lt;="&amp;$A22)-SUMIFS('Weekly Purchases'!$N$2:$N$503,'Weekly Purchases'!$B$2:$B$503,"&lt;&gt;",'Weekly Purchases'!$B$2:$B$503,"&lt;="&amp;$A22)-SUMIFS('Weekly Purchases'!$N$2:$N$503,'Weekly Purchases'!$B$2:$B$503,"",'Weekly Purchases'!$A$2:$A$503,"&lt;="&amp;$A22))</f>
        <v/>
      </c>
      <c r="M22" s="15" t="str">
        <f>IF($A22="","",Settings!$B$4+SUMIFS($C$2:$C$495,$A$2:$A$495,"&lt;="&amp;$A22)-SUMIFS($K$2:$K$495,$A$2:$A$495,"&lt;="&amp;$A22)-SUMIFS('Weekly Purchases'!$O$2:$O$503,'Weekly Purchases'!$B$2:$B$503,"&lt;&gt;",'Weekly Purchases'!$B$2:$B$503,"&lt;="&amp;$A22)-SUMIFS('Weekly Purchases'!$O$2:$O$503,'Weekly Purchases'!$B$2:$B$503,"",'Weekly Purchases'!$A$2:$A$503,"&lt;="&amp;$A22))</f>
        <v/>
      </c>
      <c r="N22" s="15" t="str">
        <f t="shared" si="2"/>
        <v/>
      </c>
      <c r="O22" s="15" t="str">
        <f t="shared" si="3"/>
        <v/>
      </c>
      <c r="P22" s="19"/>
      <c r="Q22" s="10"/>
      <c r="R22" s="10"/>
      <c r="S22" s="10"/>
      <c r="T22" s="10"/>
      <c r="U22" s="10"/>
    </row>
    <row r="23" spans="1:21">
      <c r="A23" s="17"/>
      <c r="B23" s="18"/>
      <c r="C23" s="18"/>
      <c r="D23" s="15" t="str">
        <f t="shared" si="0"/>
        <v/>
      </c>
      <c r="E23" s="18"/>
      <c r="F23" s="18"/>
      <c r="G23" s="18"/>
      <c r="H23" s="18"/>
      <c r="I23" s="15" t="str">
        <f t="shared" si="1"/>
        <v/>
      </c>
      <c r="J23" s="15"/>
      <c r="K23" s="15"/>
      <c r="L23" s="15" t="str">
        <f>IF($A23="","",Settings!$B$3+SUMIFS($B$2:$B$495,$A$2:$A$495,"&lt;="&amp;$A23)-SUMIFS($J$2:$J$495,$A$2:$A$495,"&lt;="&amp;$A23)-SUMIFS('Weekly Purchases'!$N$2:$N$503,'Weekly Purchases'!$B$2:$B$503,"&lt;&gt;",'Weekly Purchases'!$B$2:$B$503,"&lt;="&amp;$A23)-SUMIFS('Weekly Purchases'!$N$2:$N$503,'Weekly Purchases'!$B$2:$B$503,"",'Weekly Purchases'!$A$2:$A$503,"&lt;="&amp;$A23))</f>
        <v/>
      </c>
      <c r="M23" s="15" t="str">
        <f>IF($A23="","",Settings!$B$4+SUMIFS($C$2:$C$495,$A$2:$A$495,"&lt;="&amp;$A23)-SUMIFS($K$2:$K$495,$A$2:$A$495,"&lt;="&amp;$A23)-SUMIFS('Weekly Purchases'!$O$2:$O$503,'Weekly Purchases'!$B$2:$B$503,"&lt;&gt;",'Weekly Purchases'!$B$2:$B$503,"&lt;="&amp;$A23)-SUMIFS('Weekly Purchases'!$O$2:$O$503,'Weekly Purchases'!$B$2:$B$503,"",'Weekly Purchases'!$A$2:$A$503,"&lt;="&amp;$A23))</f>
        <v/>
      </c>
      <c r="N23" s="15" t="str">
        <f t="shared" si="2"/>
        <v/>
      </c>
      <c r="O23" s="15" t="str">
        <f t="shared" si="3"/>
        <v/>
      </c>
      <c r="P23" s="19"/>
      <c r="Q23" s="10"/>
      <c r="R23" s="10"/>
      <c r="S23" s="10"/>
      <c r="T23" s="10"/>
      <c r="U23" s="10"/>
    </row>
    <row r="24" spans="1:21">
      <c r="A24" s="17"/>
      <c r="B24" s="18"/>
      <c r="C24" s="18"/>
      <c r="D24" s="15" t="str">
        <f t="shared" si="0"/>
        <v/>
      </c>
      <c r="E24" s="18"/>
      <c r="F24" s="18"/>
      <c r="G24" s="18"/>
      <c r="H24" s="18"/>
      <c r="I24" s="15" t="str">
        <f t="shared" si="1"/>
        <v/>
      </c>
      <c r="J24" s="15"/>
      <c r="K24" s="15"/>
      <c r="L24" s="15" t="str">
        <f>IF($A24="","",Settings!$B$3+SUMIFS($B$2:$B$495,$A$2:$A$495,"&lt;="&amp;$A24)-SUMIFS($J$2:$J$495,$A$2:$A$495,"&lt;="&amp;$A24)-SUMIFS('Weekly Purchases'!$N$2:$N$503,'Weekly Purchases'!$B$2:$B$503,"&lt;&gt;",'Weekly Purchases'!$B$2:$B$503,"&lt;="&amp;$A24)-SUMIFS('Weekly Purchases'!$N$2:$N$503,'Weekly Purchases'!$B$2:$B$503,"",'Weekly Purchases'!$A$2:$A$503,"&lt;="&amp;$A24))</f>
        <v/>
      </c>
      <c r="M24" s="15" t="str">
        <f>IF($A24="","",Settings!$B$4+SUMIFS($C$2:$C$495,$A$2:$A$495,"&lt;="&amp;$A24)-SUMIFS($K$2:$K$495,$A$2:$A$495,"&lt;="&amp;$A24)-SUMIFS('Weekly Purchases'!$O$2:$O$503,'Weekly Purchases'!$B$2:$B$503,"&lt;&gt;",'Weekly Purchases'!$B$2:$B$503,"&lt;="&amp;$A24)-SUMIFS('Weekly Purchases'!$O$2:$O$503,'Weekly Purchases'!$B$2:$B$503,"",'Weekly Purchases'!$A$2:$A$503,"&lt;="&amp;$A24))</f>
        <v/>
      </c>
      <c r="N24" s="15" t="str">
        <f t="shared" si="2"/>
        <v/>
      </c>
      <c r="O24" s="15" t="str">
        <f t="shared" si="3"/>
        <v/>
      </c>
      <c r="P24" s="19"/>
      <c r="Q24" s="10"/>
      <c r="R24" s="10"/>
      <c r="S24" s="10"/>
      <c r="T24" s="10"/>
      <c r="U24" s="10"/>
    </row>
    <row r="25" spans="1:21">
      <c r="A25" s="17"/>
      <c r="B25" s="18"/>
      <c r="C25" s="18"/>
      <c r="D25" s="15" t="str">
        <f t="shared" si="0"/>
        <v/>
      </c>
      <c r="E25" s="18"/>
      <c r="F25" s="18"/>
      <c r="G25" s="18"/>
      <c r="H25" s="18"/>
      <c r="I25" s="15" t="str">
        <f t="shared" si="1"/>
        <v/>
      </c>
      <c r="J25" s="15"/>
      <c r="K25" s="15"/>
      <c r="L25" s="15" t="str">
        <f>IF($A25="","",Settings!$B$3+SUMIFS($B$2:$B$495,$A$2:$A$495,"&lt;="&amp;$A25)-SUMIFS($J$2:$J$495,$A$2:$A$495,"&lt;="&amp;$A25)-SUMIFS('Weekly Purchases'!$N$2:$N$503,'Weekly Purchases'!$B$2:$B$503,"&lt;&gt;",'Weekly Purchases'!$B$2:$B$503,"&lt;="&amp;$A25)-SUMIFS('Weekly Purchases'!$N$2:$N$503,'Weekly Purchases'!$B$2:$B$503,"",'Weekly Purchases'!$A$2:$A$503,"&lt;="&amp;$A25))</f>
        <v/>
      </c>
      <c r="M25" s="15" t="str">
        <f>IF($A25="","",Settings!$B$4+SUMIFS($C$2:$C$495,$A$2:$A$495,"&lt;="&amp;$A25)-SUMIFS($K$2:$K$495,$A$2:$A$495,"&lt;="&amp;$A25)-SUMIFS('Weekly Purchases'!$O$2:$O$503,'Weekly Purchases'!$B$2:$B$503,"&lt;&gt;",'Weekly Purchases'!$B$2:$B$503,"&lt;="&amp;$A25)-SUMIFS('Weekly Purchases'!$O$2:$O$503,'Weekly Purchases'!$B$2:$B$503,"",'Weekly Purchases'!$A$2:$A$503,"&lt;="&amp;$A25))</f>
        <v/>
      </c>
      <c r="N25" s="15" t="str">
        <f t="shared" si="2"/>
        <v/>
      </c>
      <c r="O25" s="15" t="str">
        <f t="shared" si="3"/>
        <v/>
      </c>
      <c r="P25" s="19"/>
      <c r="Q25" s="10"/>
      <c r="R25" s="10"/>
      <c r="S25" s="10"/>
      <c r="T25" s="10"/>
      <c r="U25" s="10"/>
    </row>
    <row r="26" spans="1:21">
      <c r="A26" s="17"/>
      <c r="B26" s="18"/>
      <c r="C26" s="18"/>
      <c r="D26" s="15" t="str">
        <f t="shared" si="0"/>
        <v/>
      </c>
      <c r="E26" s="18"/>
      <c r="F26" s="18"/>
      <c r="G26" s="18"/>
      <c r="H26" s="18"/>
      <c r="I26" s="15" t="str">
        <f t="shared" si="1"/>
        <v/>
      </c>
      <c r="J26" s="15"/>
      <c r="K26" s="15"/>
      <c r="L26" s="15" t="str">
        <f>IF($A26="","",Settings!$B$3+SUMIFS($B$2:$B$495,$A$2:$A$495,"&lt;="&amp;$A26)-SUMIFS($J$2:$J$495,$A$2:$A$495,"&lt;="&amp;$A26)-SUMIFS('Weekly Purchases'!$N$2:$N$503,'Weekly Purchases'!$B$2:$B$503,"&lt;&gt;",'Weekly Purchases'!$B$2:$B$503,"&lt;="&amp;$A26)-SUMIFS('Weekly Purchases'!$N$2:$N$503,'Weekly Purchases'!$B$2:$B$503,"",'Weekly Purchases'!$A$2:$A$503,"&lt;="&amp;$A26))</f>
        <v/>
      </c>
      <c r="M26" s="15" t="str">
        <f>IF($A26="","",Settings!$B$4+SUMIFS($C$2:$C$495,$A$2:$A$495,"&lt;="&amp;$A26)-SUMIFS($K$2:$K$495,$A$2:$A$495,"&lt;="&amp;$A26)-SUMIFS('Weekly Purchases'!$O$2:$O$503,'Weekly Purchases'!$B$2:$B$503,"&lt;&gt;",'Weekly Purchases'!$B$2:$B$503,"&lt;="&amp;$A26)-SUMIFS('Weekly Purchases'!$O$2:$O$503,'Weekly Purchases'!$B$2:$B$503,"",'Weekly Purchases'!$A$2:$A$503,"&lt;="&amp;$A26))</f>
        <v/>
      </c>
      <c r="N26" s="15" t="str">
        <f t="shared" si="2"/>
        <v/>
      </c>
      <c r="O26" s="15" t="str">
        <f t="shared" si="3"/>
        <v/>
      </c>
      <c r="P26" s="19"/>
      <c r="Q26" s="10"/>
      <c r="R26" s="10"/>
      <c r="S26" s="10"/>
      <c r="T26" s="10"/>
      <c r="U26" s="10"/>
    </row>
    <row r="27" spans="1:21">
      <c r="A27" s="17"/>
      <c r="B27" s="18"/>
      <c r="C27" s="18"/>
      <c r="D27" s="15" t="str">
        <f t="shared" si="0"/>
        <v/>
      </c>
      <c r="E27" s="18"/>
      <c r="F27" s="18"/>
      <c r="G27" s="18"/>
      <c r="H27" s="18"/>
      <c r="I27" s="15" t="str">
        <f t="shared" si="1"/>
        <v/>
      </c>
      <c r="J27" s="15"/>
      <c r="K27" s="15"/>
      <c r="L27" s="15" t="str">
        <f>IF($A27="","",Settings!$B$3+SUMIFS($B$2:$B$495,$A$2:$A$495,"&lt;="&amp;$A27)-SUMIFS($J$2:$J$495,$A$2:$A$495,"&lt;="&amp;$A27)-SUMIFS('Weekly Purchases'!$N$2:$N$503,'Weekly Purchases'!$B$2:$B$503,"&lt;&gt;",'Weekly Purchases'!$B$2:$B$503,"&lt;="&amp;$A27)-SUMIFS('Weekly Purchases'!$N$2:$N$503,'Weekly Purchases'!$B$2:$B$503,"",'Weekly Purchases'!$A$2:$A$503,"&lt;="&amp;$A27))</f>
        <v/>
      </c>
      <c r="M27" s="15" t="str">
        <f>IF($A27="","",Settings!$B$4+SUMIFS($C$2:$C$495,$A$2:$A$495,"&lt;="&amp;$A27)-SUMIFS($K$2:$K$495,$A$2:$A$495,"&lt;="&amp;$A27)-SUMIFS('Weekly Purchases'!$O$2:$O$503,'Weekly Purchases'!$B$2:$B$503,"&lt;&gt;",'Weekly Purchases'!$B$2:$B$503,"&lt;="&amp;$A27)-SUMIFS('Weekly Purchases'!$O$2:$O$503,'Weekly Purchases'!$B$2:$B$503,"",'Weekly Purchases'!$A$2:$A$503,"&lt;="&amp;$A27))</f>
        <v/>
      </c>
      <c r="N27" s="15" t="str">
        <f t="shared" si="2"/>
        <v/>
      </c>
      <c r="O27" s="15" t="str">
        <f t="shared" si="3"/>
        <v/>
      </c>
      <c r="P27" s="19"/>
      <c r="Q27" s="10"/>
      <c r="R27" s="10"/>
      <c r="S27" s="10"/>
      <c r="T27" s="10"/>
      <c r="U27" s="10"/>
    </row>
    <row r="28" spans="1:21">
      <c r="A28" s="17"/>
      <c r="B28" s="18"/>
      <c r="C28" s="18"/>
      <c r="D28" s="15" t="str">
        <f t="shared" si="0"/>
        <v/>
      </c>
      <c r="E28" s="18"/>
      <c r="F28" s="18"/>
      <c r="G28" s="18"/>
      <c r="H28" s="18"/>
      <c r="I28" s="15" t="str">
        <f t="shared" si="1"/>
        <v/>
      </c>
      <c r="J28" s="15"/>
      <c r="K28" s="15"/>
      <c r="L28" s="15" t="str">
        <f>IF($A28="","",Settings!$B$3+SUMIFS($B$2:$B$495,$A$2:$A$495,"&lt;="&amp;$A28)-SUMIFS($J$2:$J$495,$A$2:$A$495,"&lt;="&amp;$A28)-SUMIFS('Weekly Purchases'!$N$2:$N$503,'Weekly Purchases'!$B$2:$B$503,"&lt;&gt;",'Weekly Purchases'!$B$2:$B$503,"&lt;="&amp;$A28)-SUMIFS('Weekly Purchases'!$N$2:$N$503,'Weekly Purchases'!$B$2:$B$503,"",'Weekly Purchases'!$A$2:$A$503,"&lt;="&amp;$A28))</f>
        <v/>
      </c>
      <c r="M28" s="15" t="str">
        <f>IF($A28="","",Settings!$B$4+SUMIFS($C$2:$C$495,$A$2:$A$495,"&lt;="&amp;$A28)-SUMIFS($K$2:$K$495,$A$2:$A$495,"&lt;="&amp;$A28)-SUMIFS('Weekly Purchases'!$O$2:$O$503,'Weekly Purchases'!$B$2:$B$503,"&lt;&gt;",'Weekly Purchases'!$B$2:$B$503,"&lt;="&amp;$A28)-SUMIFS('Weekly Purchases'!$O$2:$O$503,'Weekly Purchases'!$B$2:$B$503,"",'Weekly Purchases'!$A$2:$A$503,"&lt;="&amp;$A28))</f>
        <v/>
      </c>
      <c r="N28" s="15" t="str">
        <f t="shared" si="2"/>
        <v/>
      </c>
      <c r="O28" s="15" t="str">
        <f t="shared" si="3"/>
        <v/>
      </c>
      <c r="P28" s="19"/>
      <c r="Q28" s="10"/>
      <c r="R28" s="10"/>
      <c r="S28" s="10"/>
      <c r="T28" s="10"/>
      <c r="U28" s="10"/>
    </row>
    <row r="29" spans="1:21">
      <c r="A29" s="17"/>
      <c r="B29" s="18"/>
      <c r="C29" s="18"/>
      <c r="D29" s="15" t="str">
        <f t="shared" si="0"/>
        <v/>
      </c>
      <c r="E29" s="18"/>
      <c r="F29" s="18"/>
      <c r="G29" s="18"/>
      <c r="H29" s="18"/>
      <c r="I29" s="15" t="str">
        <f t="shared" si="1"/>
        <v/>
      </c>
      <c r="J29" s="15"/>
      <c r="K29" s="15"/>
      <c r="L29" s="15" t="str">
        <f>IF($A29="","",Settings!$B$3+SUMIFS($B$2:$B$495,$A$2:$A$495,"&lt;="&amp;$A29)-SUMIFS($J$2:$J$495,$A$2:$A$495,"&lt;="&amp;$A29)-SUMIFS('Weekly Purchases'!$N$2:$N$503,'Weekly Purchases'!$B$2:$B$503,"&lt;&gt;",'Weekly Purchases'!$B$2:$B$503,"&lt;="&amp;$A29)-SUMIFS('Weekly Purchases'!$N$2:$N$503,'Weekly Purchases'!$B$2:$B$503,"",'Weekly Purchases'!$A$2:$A$503,"&lt;="&amp;$A29))</f>
        <v/>
      </c>
      <c r="M29" s="15" t="str">
        <f>IF($A29="","",Settings!$B$4+SUMIFS($C$2:$C$495,$A$2:$A$495,"&lt;="&amp;$A29)-SUMIFS($K$2:$K$495,$A$2:$A$495,"&lt;="&amp;$A29)-SUMIFS('Weekly Purchases'!$O$2:$O$503,'Weekly Purchases'!$B$2:$B$503,"&lt;&gt;",'Weekly Purchases'!$B$2:$B$503,"&lt;="&amp;$A29)-SUMIFS('Weekly Purchases'!$O$2:$O$503,'Weekly Purchases'!$B$2:$B$503,"",'Weekly Purchases'!$A$2:$A$503,"&lt;="&amp;$A29))</f>
        <v/>
      </c>
      <c r="N29" s="15" t="str">
        <f t="shared" si="2"/>
        <v/>
      </c>
      <c r="O29" s="15" t="str">
        <f t="shared" si="3"/>
        <v/>
      </c>
      <c r="P29" s="19"/>
      <c r="Q29" s="10"/>
      <c r="R29" s="10"/>
      <c r="S29" s="10"/>
      <c r="T29" s="10"/>
      <c r="U29" s="10"/>
    </row>
    <row r="30" spans="1:21">
      <c r="A30" s="17"/>
      <c r="B30" s="18"/>
      <c r="C30" s="18"/>
      <c r="D30" s="15" t="str">
        <f t="shared" si="0"/>
        <v/>
      </c>
      <c r="E30" s="18"/>
      <c r="F30" s="18"/>
      <c r="G30" s="18"/>
      <c r="H30" s="18"/>
      <c r="I30" s="15" t="str">
        <f t="shared" si="1"/>
        <v/>
      </c>
      <c r="J30" s="15"/>
      <c r="K30" s="15"/>
      <c r="L30" s="15" t="str">
        <f>IF($A30="","",Settings!$B$3+SUMIFS($B$2:$B$495,$A$2:$A$495,"&lt;="&amp;$A30)-SUMIFS($J$2:$J$495,$A$2:$A$495,"&lt;="&amp;$A30)-SUMIFS('Weekly Purchases'!$N$2:$N$503,'Weekly Purchases'!$B$2:$B$503,"&lt;&gt;",'Weekly Purchases'!$B$2:$B$503,"&lt;="&amp;$A30)-SUMIFS('Weekly Purchases'!$N$2:$N$503,'Weekly Purchases'!$B$2:$B$503,"",'Weekly Purchases'!$A$2:$A$503,"&lt;="&amp;$A30))</f>
        <v/>
      </c>
      <c r="M30" s="15" t="str">
        <f>IF($A30="","",Settings!$B$4+SUMIFS($C$2:$C$495,$A$2:$A$495,"&lt;="&amp;$A30)-SUMIFS($K$2:$K$495,$A$2:$A$495,"&lt;="&amp;$A30)-SUMIFS('Weekly Purchases'!$O$2:$O$503,'Weekly Purchases'!$B$2:$B$503,"&lt;&gt;",'Weekly Purchases'!$B$2:$B$503,"&lt;="&amp;$A30)-SUMIFS('Weekly Purchases'!$O$2:$O$503,'Weekly Purchases'!$B$2:$B$503,"",'Weekly Purchases'!$A$2:$A$503,"&lt;="&amp;$A30))</f>
        <v/>
      </c>
      <c r="N30" s="15" t="str">
        <f t="shared" si="2"/>
        <v/>
      </c>
      <c r="O30" s="15" t="str">
        <f t="shared" si="3"/>
        <v/>
      </c>
      <c r="P30" s="19"/>
      <c r="Q30" s="10"/>
      <c r="R30" s="10"/>
      <c r="S30" s="10"/>
      <c r="T30" s="10"/>
      <c r="U30" s="10"/>
    </row>
    <row r="31" spans="1:21">
      <c r="A31" s="17"/>
      <c r="B31" s="18"/>
      <c r="C31" s="18"/>
      <c r="D31" s="15" t="str">
        <f t="shared" si="0"/>
        <v/>
      </c>
      <c r="E31" s="18"/>
      <c r="F31" s="18"/>
      <c r="G31" s="18"/>
      <c r="H31" s="18"/>
      <c r="I31" s="15" t="str">
        <f t="shared" si="1"/>
        <v/>
      </c>
      <c r="J31" s="15"/>
      <c r="K31" s="15"/>
      <c r="L31" s="15" t="str">
        <f>IF($A31="","",Settings!$B$3+SUMIFS($B$2:$B$495,$A$2:$A$495,"&lt;="&amp;$A31)-SUMIFS($J$2:$J$495,$A$2:$A$495,"&lt;="&amp;$A31)-SUMIFS('Weekly Purchases'!$N$2:$N$503,'Weekly Purchases'!$B$2:$B$503,"&lt;&gt;",'Weekly Purchases'!$B$2:$B$503,"&lt;="&amp;$A31)-SUMIFS('Weekly Purchases'!$N$2:$N$503,'Weekly Purchases'!$B$2:$B$503,"",'Weekly Purchases'!$A$2:$A$503,"&lt;="&amp;$A31))</f>
        <v/>
      </c>
      <c r="M31" s="15" t="str">
        <f>IF($A31="","",Settings!$B$4+SUMIFS($C$2:$C$495,$A$2:$A$495,"&lt;="&amp;$A31)-SUMIFS($K$2:$K$495,$A$2:$A$495,"&lt;="&amp;$A31)-SUMIFS('Weekly Purchases'!$O$2:$O$503,'Weekly Purchases'!$B$2:$B$503,"&lt;&gt;",'Weekly Purchases'!$B$2:$B$503,"&lt;="&amp;$A31)-SUMIFS('Weekly Purchases'!$O$2:$O$503,'Weekly Purchases'!$B$2:$B$503,"",'Weekly Purchases'!$A$2:$A$503,"&lt;="&amp;$A31))</f>
        <v/>
      </c>
      <c r="N31" s="15" t="str">
        <f t="shared" si="2"/>
        <v/>
      </c>
      <c r="O31" s="15" t="str">
        <f t="shared" si="3"/>
        <v/>
      </c>
      <c r="P31" s="19"/>
      <c r="Q31" s="10"/>
      <c r="R31" s="10"/>
      <c r="S31" s="10"/>
      <c r="T31" s="10"/>
      <c r="U31" s="10"/>
    </row>
    <row r="32" spans="1:21">
      <c r="A32" s="17"/>
      <c r="B32" s="18"/>
      <c r="C32" s="18"/>
      <c r="D32" s="15" t="str">
        <f t="shared" si="0"/>
        <v/>
      </c>
      <c r="E32" s="18"/>
      <c r="F32" s="18"/>
      <c r="G32" s="18"/>
      <c r="H32" s="18"/>
      <c r="I32" s="15" t="str">
        <f t="shared" si="1"/>
        <v/>
      </c>
      <c r="J32" s="15"/>
      <c r="K32" s="15"/>
      <c r="L32" s="15" t="str">
        <f>IF($A32="","",Settings!$B$3+SUMIFS($B$2:$B$495,$A$2:$A$495,"&lt;="&amp;$A32)-SUMIFS($J$2:$J$495,$A$2:$A$495,"&lt;="&amp;$A32)-SUMIFS('Weekly Purchases'!$N$2:$N$503,'Weekly Purchases'!$B$2:$B$503,"&lt;&gt;",'Weekly Purchases'!$B$2:$B$503,"&lt;="&amp;$A32)-SUMIFS('Weekly Purchases'!$N$2:$N$503,'Weekly Purchases'!$B$2:$B$503,"",'Weekly Purchases'!$A$2:$A$503,"&lt;="&amp;$A32))</f>
        <v/>
      </c>
      <c r="M32" s="15" t="str">
        <f>IF($A32="","",Settings!$B$4+SUMIFS($C$2:$C$495,$A$2:$A$495,"&lt;="&amp;$A32)-SUMIFS($K$2:$K$495,$A$2:$A$495,"&lt;="&amp;$A32)-SUMIFS('Weekly Purchases'!$O$2:$O$503,'Weekly Purchases'!$B$2:$B$503,"&lt;&gt;",'Weekly Purchases'!$B$2:$B$503,"&lt;="&amp;$A32)-SUMIFS('Weekly Purchases'!$O$2:$O$503,'Weekly Purchases'!$B$2:$B$503,"",'Weekly Purchases'!$A$2:$A$503,"&lt;="&amp;$A32))</f>
        <v/>
      </c>
      <c r="N32" s="15" t="str">
        <f t="shared" si="2"/>
        <v/>
      </c>
      <c r="O32" s="15" t="str">
        <f t="shared" si="3"/>
        <v/>
      </c>
      <c r="P32" s="19"/>
      <c r="Q32" s="10"/>
      <c r="R32" s="10"/>
      <c r="S32" s="10"/>
      <c r="T32" s="10"/>
      <c r="U32" s="10"/>
    </row>
    <row r="33" spans="1:21">
      <c r="A33" s="17"/>
      <c r="B33" s="18"/>
      <c r="C33" s="18"/>
      <c r="D33" s="15" t="str">
        <f t="shared" si="0"/>
        <v/>
      </c>
      <c r="E33" s="18"/>
      <c r="F33" s="18"/>
      <c r="G33" s="18"/>
      <c r="H33" s="18"/>
      <c r="I33" s="15" t="str">
        <f t="shared" si="1"/>
        <v/>
      </c>
      <c r="J33" s="15"/>
      <c r="K33" s="15"/>
      <c r="L33" s="15" t="str">
        <f>IF($A33="","",Settings!$B$3+SUMIFS($B$2:$B$495,$A$2:$A$495,"&lt;="&amp;$A33)-SUMIFS($J$2:$J$495,$A$2:$A$495,"&lt;="&amp;$A33)-SUMIFS('Weekly Purchases'!$N$2:$N$503,'Weekly Purchases'!$B$2:$B$503,"&lt;&gt;",'Weekly Purchases'!$B$2:$B$503,"&lt;="&amp;$A33)-SUMIFS('Weekly Purchases'!$N$2:$N$503,'Weekly Purchases'!$B$2:$B$503,"",'Weekly Purchases'!$A$2:$A$503,"&lt;="&amp;$A33))</f>
        <v/>
      </c>
      <c r="M33" s="15" t="str">
        <f>IF($A33="","",Settings!$B$4+SUMIFS($C$2:$C$495,$A$2:$A$495,"&lt;="&amp;$A33)-SUMIFS($K$2:$K$495,$A$2:$A$495,"&lt;="&amp;$A33)-SUMIFS('Weekly Purchases'!$O$2:$O$503,'Weekly Purchases'!$B$2:$B$503,"&lt;&gt;",'Weekly Purchases'!$B$2:$B$503,"&lt;="&amp;$A33)-SUMIFS('Weekly Purchases'!$O$2:$O$503,'Weekly Purchases'!$B$2:$B$503,"",'Weekly Purchases'!$A$2:$A$503,"&lt;="&amp;$A33))</f>
        <v/>
      </c>
      <c r="N33" s="15" t="str">
        <f t="shared" si="2"/>
        <v/>
      </c>
      <c r="O33" s="15" t="str">
        <f t="shared" si="3"/>
        <v/>
      </c>
      <c r="P33" s="19"/>
      <c r="Q33" s="10"/>
      <c r="R33" s="10"/>
      <c r="S33" s="10"/>
      <c r="T33" s="10"/>
      <c r="U33" s="10"/>
    </row>
    <row r="34" spans="1:21">
      <c r="A34" s="17"/>
      <c r="B34" s="18"/>
      <c r="C34" s="18"/>
      <c r="D34" s="15" t="str">
        <f t="shared" si="0"/>
        <v/>
      </c>
      <c r="E34" s="18"/>
      <c r="F34" s="18"/>
      <c r="G34" s="18"/>
      <c r="H34" s="18"/>
      <c r="I34" s="15" t="str">
        <f t="shared" si="1"/>
        <v/>
      </c>
      <c r="J34" s="15"/>
      <c r="K34" s="15"/>
      <c r="L34" s="15" t="str">
        <f>IF($A34="","",Settings!$B$3+SUMIFS($B$2:$B$495,$A$2:$A$495,"&lt;="&amp;$A34)-SUMIFS($J$2:$J$495,$A$2:$A$495,"&lt;="&amp;$A34)-SUMIFS('Weekly Purchases'!$N$2:$N$503,'Weekly Purchases'!$B$2:$B$503,"&lt;&gt;",'Weekly Purchases'!$B$2:$B$503,"&lt;="&amp;$A34)-SUMIFS('Weekly Purchases'!$N$2:$N$503,'Weekly Purchases'!$B$2:$B$503,"",'Weekly Purchases'!$A$2:$A$503,"&lt;="&amp;$A34))</f>
        <v/>
      </c>
      <c r="M34" s="15" t="str">
        <f>IF($A34="","",Settings!$B$4+SUMIFS($C$2:$C$495,$A$2:$A$495,"&lt;="&amp;$A34)-SUMIFS($K$2:$K$495,$A$2:$A$495,"&lt;="&amp;$A34)-SUMIFS('Weekly Purchases'!$O$2:$O$503,'Weekly Purchases'!$B$2:$B$503,"&lt;&gt;",'Weekly Purchases'!$B$2:$B$503,"&lt;="&amp;$A34)-SUMIFS('Weekly Purchases'!$O$2:$O$503,'Weekly Purchases'!$B$2:$B$503,"",'Weekly Purchases'!$A$2:$A$503,"&lt;="&amp;$A34))</f>
        <v/>
      </c>
      <c r="N34" s="15" t="str">
        <f t="shared" si="2"/>
        <v/>
      </c>
      <c r="O34" s="15" t="str">
        <f t="shared" si="3"/>
        <v/>
      </c>
      <c r="P34" s="19"/>
      <c r="Q34" s="10"/>
      <c r="R34" s="10"/>
      <c r="S34" s="10"/>
      <c r="T34" s="10"/>
      <c r="U34" s="10"/>
    </row>
    <row r="35" spans="1:21">
      <c r="A35" s="17"/>
      <c r="B35" s="18"/>
      <c r="C35" s="18"/>
      <c r="D35" s="15" t="str">
        <f t="shared" si="0"/>
        <v/>
      </c>
      <c r="E35" s="18"/>
      <c r="F35" s="18"/>
      <c r="G35" s="18"/>
      <c r="H35" s="18"/>
      <c r="I35" s="15" t="str">
        <f t="shared" si="1"/>
        <v/>
      </c>
      <c r="J35" s="15"/>
      <c r="K35" s="15"/>
      <c r="L35" s="15" t="str">
        <f>IF($A35="","",Settings!$B$3+SUMIFS($B$2:$B$495,$A$2:$A$495,"&lt;="&amp;$A35)-SUMIFS($J$2:$J$495,$A$2:$A$495,"&lt;="&amp;$A35)-SUMIFS('Weekly Purchases'!$N$2:$N$503,'Weekly Purchases'!$B$2:$B$503,"&lt;&gt;",'Weekly Purchases'!$B$2:$B$503,"&lt;="&amp;$A35)-SUMIFS('Weekly Purchases'!$N$2:$N$503,'Weekly Purchases'!$B$2:$B$503,"",'Weekly Purchases'!$A$2:$A$503,"&lt;="&amp;$A35))</f>
        <v/>
      </c>
      <c r="M35" s="15" t="str">
        <f>IF($A35="","",Settings!$B$4+SUMIFS($C$2:$C$495,$A$2:$A$495,"&lt;="&amp;$A35)-SUMIFS($K$2:$K$495,$A$2:$A$495,"&lt;="&amp;$A35)-SUMIFS('Weekly Purchases'!$O$2:$O$503,'Weekly Purchases'!$B$2:$B$503,"&lt;&gt;",'Weekly Purchases'!$B$2:$B$503,"&lt;="&amp;$A35)-SUMIFS('Weekly Purchases'!$O$2:$O$503,'Weekly Purchases'!$B$2:$B$503,"",'Weekly Purchases'!$A$2:$A$503,"&lt;="&amp;$A35))</f>
        <v/>
      </c>
      <c r="N35" s="15" t="str">
        <f t="shared" si="2"/>
        <v/>
      </c>
      <c r="O35" s="15" t="str">
        <f t="shared" si="3"/>
        <v/>
      </c>
      <c r="P35" s="19"/>
      <c r="Q35" s="10"/>
      <c r="R35" s="10"/>
      <c r="S35" s="10"/>
      <c r="T35" s="10"/>
      <c r="U35" s="10"/>
    </row>
    <row r="36" spans="1:21">
      <c r="A36" s="17"/>
      <c r="B36" s="18"/>
      <c r="C36" s="18"/>
      <c r="D36" s="15" t="str">
        <f t="shared" si="0"/>
        <v/>
      </c>
      <c r="E36" s="18"/>
      <c r="F36" s="18"/>
      <c r="G36" s="18"/>
      <c r="H36" s="18"/>
      <c r="I36" s="15" t="str">
        <f t="shared" si="1"/>
        <v/>
      </c>
      <c r="J36" s="15"/>
      <c r="K36" s="15"/>
      <c r="L36" s="15" t="str">
        <f>IF($A36="","",Settings!$B$3+SUMIFS($B$2:$B$495,$A$2:$A$495,"&lt;="&amp;$A36)-SUMIFS($J$2:$J$495,$A$2:$A$495,"&lt;="&amp;$A36)-SUMIFS('Weekly Purchases'!$N$2:$N$503,'Weekly Purchases'!$B$2:$B$503,"&lt;&gt;",'Weekly Purchases'!$B$2:$B$503,"&lt;="&amp;$A36)-SUMIFS('Weekly Purchases'!$N$2:$N$503,'Weekly Purchases'!$B$2:$B$503,"",'Weekly Purchases'!$A$2:$A$503,"&lt;="&amp;$A36))</f>
        <v/>
      </c>
      <c r="M36" s="15" t="str">
        <f>IF($A36="","",Settings!$B$4+SUMIFS($C$2:$C$495,$A$2:$A$495,"&lt;="&amp;$A36)-SUMIFS($K$2:$K$495,$A$2:$A$495,"&lt;="&amp;$A36)-SUMIFS('Weekly Purchases'!$O$2:$O$503,'Weekly Purchases'!$B$2:$B$503,"&lt;&gt;",'Weekly Purchases'!$B$2:$B$503,"&lt;="&amp;$A36)-SUMIFS('Weekly Purchases'!$O$2:$O$503,'Weekly Purchases'!$B$2:$B$503,"",'Weekly Purchases'!$A$2:$A$503,"&lt;="&amp;$A36))</f>
        <v/>
      </c>
      <c r="N36" s="15" t="str">
        <f t="shared" si="2"/>
        <v/>
      </c>
      <c r="O36" s="15" t="str">
        <f t="shared" si="3"/>
        <v/>
      </c>
      <c r="P36" s="19"/>
      <c r="Q36" s="10"/>
      <c r="R36" s="10"/>
      <c r="S36" s="10"/>
      <c r="T36" s="10"/>
      <c r="U36" s="10"/>
    </row>
    <row r="37" spans="1:21">
      <c r="A37" s="17"/>
      <c r="B37" s="18"/>
      <c r="C37" s="18"/>
      <c r="D37" s="15" t="str">
        <f t="shared" si="0"/>
        <v/>
      </c>
      <c r="E37" s="18"/>
      <c r="F37" s="18"/>
      <c r="G37" s="18"/>
      <c r="H37" s="18"/>
      <c r="I37" s="15" t="str">
        <f t="shared" si="1"/>
        <v/>
      </c>
      <c r="J37" s="15"/>
      <c r="K37" s="15"/>
      <c r="L37" s="15" t="str">
        <f>IF($A37="","",Settings!$B$3+SUMIFS($B$2:$B$495,$A$2:$A$495,"&lt;="&amp;$A37)-SUMIFS($J$2:$J$495,$A$2:$A$495,"&lt;="&amp;$A37)-SUMIFS('Weekly Purchases'!$N$2:$N$503,'Weekly Purchases'!$B$2:$B$503,"&lt;&gt;",'Weekly Purchases'!$B$2:$B$503,"&lt;="&amp;$A37)-SUMIFS('Weekly Purchases'!$N$2:$N$503,'Weekly Purchases'!$B$2:$B$503,"",'Weekly Purchases'!$A$2:$A$503,"&lt;="&amp;$A37))</f>
        <v/>
      </c>
      <c r="M37" s="15" t="str">
        <f>IF($A37="","",Settings!$B$4+SUMIFS($C$2:$C$495,$A$2:$A$495,"&lt;="&amp;$A37)-SUMIFS($K$2:$K$495,$A$2:$A$495,"&lt;="&amp;$A37)-SUMIFS('Weekly Purchases'!$O$2:$O$503,'Weekly Purchases'!$B$2:$B$503,"&lt;&gt;",'Weekly Purchases'!$B$2:$B$503,"&lt;="&amp;$A37)-SUMIFS('Weekly Purchases'!$O$2:$O$503,'Weekly Purchases'!$B$2:$B$503,"",'Weekly Purchases'!$A$2:$A$503,"&lt;="&amp;$A37))</f>
        <v/>
      </c>
      <c r="N37" s="15" t="str">
        <f t="shared" si="2"/>
        <v/>
      </c>
      <c r="O37" s="15" t="str">
        <f t="shared" si="3"/>
        <v/>
      </c>
      <c r="P37" s="19"/>
      <c r="Q37" s="10"/>
      <c r="R37" s="10"/>
      <c r="S37" s="10"/>
      <c r="T37" s="10"/>
      <c r="U37" s="10"/>
    </row>
    <row r="38" spans="1:21">
      <c r="A38" s="17"/>
      <c r="B38" s="18"/>
      <c r="C38" s="18"/>
      <c r="D38" s="15" t="str">
        <f t="shared" si="0"/>
        <v/>
      </c>
      <c r="E38" s="18"/>
      <c r="F38" s="18"/>
      <c r="G38" s="18"/>
      <c r="H38" s="18"/>
      <c r="I38" s="15" t="str">
        <f t="shared" si="1"/>
        <v/>
      </c>
      <c r="J38" s="15"/>
      <c r="K38" s="15"/>
      <c r="L38" s="15" t="str">
        <f>IF($A38="","",Settings!$B$3+SUMIFS($B$2:$B$495,$A$2:$A$495,"&lt;="&amp;$A38)-SUMIFS($J$2:$J$495,$A$2:$A$495,"&lt;="&amp;$A38)-SUMIFS('Weekly Purchases'!$N$2:$N$503,'Weekly Purchases'!$B$2:$B$503,"&lt;&gt;",'Weekly Purchases'!$B$2:$B$503,"&lt;="&amp;$A38)-SUMIFS('Weekly Purchases'!$N$2:$N$503,'Weekly Purchases'!$B$2:$B$503,"",'Weekly Purchases'!$A$2:$A$503,"&lt;="&amp;$A38))</f>
        <v/>
      </c>
      <c r="M38" s="15" t="str">
        <f>IF($A38="","",Settings!$B$4+SUMIFS($C$2:$C$495,$A$2:$A$495,"&lt;="&amp;$A38)-SUMIFS($K$2:$K$495,$A$2:$A$495,"&lt;="&amp;$A38)-SUMIFS('Weekly Purchases'!$O$2:$O$503,'Weekly Purchases'!$B$2:$B$503,"&lt;&gt;",'Weekly Purchases'!$B$2:$B$503,"&lt;="&amp;$A38)-SUMIFS('Weekly Purchases'!$O$2:$O$503,'Weekly Purchases'!$B$2:$B$503,"",'Weekly Purchases'!$A$2:$A$503,"&lt;="&amp;$A38))</f>
        <v/>
      </c>
      <c r="N38" s="15" t="str">
        <f t="shared" si="2"/>
        <v/>
      </c>
      <c r="O38" s="15" t="str">
        <f t="shared" si="3"/>
        <v/>
      </c>
      <c r="P38" s="19"/>
      <c r="Q38" s="10"/>
      <c r="R38" s="10"/>
      <c r="S38" s="10"/>
      <c r="T38" s="10"/>
      <c r="U38" s="10"/>
    </row>
    <row r="39" spans="1:21">
      <c r="A39" s="17"/>
      <c r="B39" s="18"/>
      <c r="C39" s="18"/>
      <c r="D39" s="15" t="str">
        <f t="shared" si="0"/>
        <v/>
      </c>
      <c r="E39" s="18"/>
      <c r="F39" s="18"/>
      <c r="G39" s="18"/>
      <c r="H39" s="18"/>
      <c r="I39" s="15" t="str">
        <f t="shared" si="1"/>
        <v/>
      </c>
      <c r="J39" s="15"/>
      <c r="K39" s="15"/>
      <c r="L39" s="15" t="str">
        <f>IF($A39="","",Settings!$B$3+SUMIFS($B$2:$B$495,$A$2:$A$495,"&lt;="&amp;$A39)-SUMIFS($J$2:$J$495,$A$2:$A$495,"&lt;="&amp;$A39)-SUMIFS('Weekly Purchases'!$N$2:$N$503,'Weekly Purchases'!$B$2:$B$503,"&lt;&gt;",'Weekly Purchases'!$B$2:$B$503,"&lt;="&amp;$A39)-SUMIFS('Weekly Purchases'!$N$2:$N$503,'Weekly Purchases'!$B$2:$B$503,"",'Weekly Purchases'!$A$2:$A$503,"&lt;="&amp;$A39))</f>
        <v/>
      </c>
      <c r="M39" s="15" t="str">
        <f>IF($A39="","",Settings!$B$4+SUMIFS($C$2:$C$495,$A$2:$A$495,"&lt;="&amp;$A39)-SUMIFS($K$2:$K$495,$A$2:$A$495,"&lt;="&amp;$A39)-SUMIFS('Weekly Purchases'!$O$2:$O$503,'Weekly Purchases'!$B$2:$B$503,"&lt;&gt;",'Weekly Purchases'!$B$2:$B$503,"&lt;="&amp;$A39)-SUMIFS('Weekly Purchases'!$O$2:$O$503,'Weekly Purchases'!$B$2:$B$503,"",'Weekly Purchases'!$A$2:$A$503,"&lt;="&amp;$A39))</f>
        <v/>
      </c>
      <c r="N39" s="15" t="str">
        <f t="shared" si="2"/>
        <v/>
      </c>
      <c r="O39" s="15" t="str">
        <f t="shared" si="3"/>
        <v/>
      </c>
      <c r="P39" s="19"/>
      <c r="Q39" s="10"/>
      <c r="R39" s="10"/>
      <c r="S39" s="10"/>
      <c r="T39" s="10"/>
      <c r="U39" s="10"/>
    </row>
    <row r="40" spans="1:21">
      <c r="A40" s="17"/>
      <c r="B40" s="18"/>
      <c r="C40" s="18"/>
      <c r="D40" s="15" t="str">
        <f t="shared" si="0"/>
        <v/>
      </c>
      <c r="E40" s="18"/>
      <c r="F40" s="18"/>
      <c r="G40" s="18"/>
      <c r="H40" s="18"/>
      <c r="I40" s="15" t="str">
        <f t="shared" si="1"/>
        <v/>
      </c>
      <c r="J40" s="15"/>
      <c r="K40" s="15"/>
      <c r="L40" s="15" t="str">
        <f>IF($A40="","",Settings!$B$3+SUMIFS($B$2:$B$495,$A$2:$A$495,"&lt;="&amp;$A40)-SUMIFS($J$2:$J$495,$A$2:$A$495,"&lt;="&amp;$A40)-SUMIFS('Weekly Purchases'!$N$2:$N$503,'Weekly Purchases'!$B$2:$B$503,"&lt;&gt;",'Weekly Purchases'!$B$2:$B$503,"&lt;="&amp;$A40)-SUMIFS('Weekly Purchases'!$N$2:$N$503,'Weekly Purchases'!$B$2:$B$503,"",'Weekly Purchases'!$A$2:$A$503,"&lt;="&amp;$A40))</f>
        <v/>
      </c>
      <c r="M40" s="15" t="str">
        <f>IF($A40="","",Settings!$B$4+SUMIFS($C$2:$C$495,$A$2:$A$495,"&lt;="&amp;$A40)-SUMIFS($K$2:$K$495,$A$2:$A$495,"&lt;="&amp;$A40)-SUMIFS('Weekly Purchases'!$O$2:$O$503,'Weekly Purchases'!$B$2:$B$503,"&lt;&gt;",'Weekly Purchases'!$B$2:$B$503,"&lt;="&amp;$A40)-SUMIFS('Weekly Purchases'!$O$2:$O$503,'Weekly Purchases'!$B$2:$B$503,"",'Weekly Purchases'!$A$2:$A$503,"&lt;="&amp;$A40))</f>
        <v/>
      </c>
      <c r="N40" s="15" t="str">
        <f t="shared" si="2"/>
        <v/>
      </c>
      <c r="O40" s="15" t="str">
        <f t="shared" si="3"/>
        <v/>
      </c>
      <c r="P40" s="19"/>
      <c r="Q40" s="10"/>
      <c r="R40" s="10"/>
      <c r="S40" s="10"/>
      <c r="T40" s="10"/>
      <c r="U40" s="10"/>
    </row>
    <row r="41" spans="1:21">
      <c r="A41" s="17"/>
      <c r="B41" s="18"/>
      <c r="C41" s="18"/>
      <c r="D41" s="15" t="str">
        <f t="shared" si="0"/>
        <v/>
      </c>
      <c r="E41" s="18"/>
      <c r="F41" s="18"/>
      <c r="G41" s="18"/>
      <c r="H41" s="18"/>
      <c r="I41" s="15" t="str">
        <f t="shared" si="1"/>
        <v/>
      </c>
      <c r="J41" s="15"/>
      <c r="K41" s="15"/>
      <c r="L41" s="15" t="str">
        <f>IF($A41="","",Settings!$B$3+SUMIFS($B$2:$B$495,$A$2:$A$495,"&lt;="&amp;$A41)-SUMIFS($J$2:$J$495,$A$2:$A$495,"&lt;="&amp;$A41)-SUMIFS('Weekly Purchases'!$N$2:$N$503,'Weekly Purchases'!$B$2:$B$503,"&lt;&gt;",'Weekly Purchases'!$B$2:$B$503,"&lt;="&amp;$A41)-SUMIFS('Weekly Purchases'!$N$2:$N$503,'Weekly Purchases'!$B$2:$B$503,"",'Weekly Purchases'!$A$2:$A$503,"&lt;="&amp;$A41))</f>
        <v/>
      </c>
      <c r="M41" s="15" t="str">
        <f>IF($A41="","",Settings!$B$4+SUMIFS($C$2:$C$495,$A$2:$A$495,"&lt;="&amp;$A41)-SUMIFS($K$2:$K$495,$A$2:$A$495,"&lt;="&amp;$A41)-SUMIFS('Weekly Purchases'!$O$2:$O$503,'Weekly Purchases'!$B$2:$B$503,"&lt;&gt;",'Weekly Purchases'!$B$2:$B$503,"&lt;="&amp;$A41)-SUMIFS('Weekly Purchases'!$O$2:$O$503,'Weekly Purchases'!$B$2:$B$503,"",'Weekly Purchases'!$A$2:$A$503,"&lt;="&amp;$A41))</f>
        <v/>
      </c>
      <c r="N41" s="15" t="str">
        <f t="shared" si="2"/>
        <v/>
      </c>
      <c r="O41" s="15" t="str">
        <f t="shared" si="3"/>
        <v/>
      </c>
      <c r="P41" s="19"/>
      <c r="Q41" s="10"/>
      <c r="R41" s="10"/>
      <c r="S41" s="10"/>
      <c r="T41" s="10"/>
      <c r="U41" s="10"/>
    </row>
    <row r="42" spans="1:21">
      <c r="A42" s="17"/>
      <c r="B42" s="18"/>
      <c r="C42" s="18"/>
      <c r="D42" s="15" t="str">
        <f t="shared" si="0"/>
        <v/>
      </c>
      <c r="E42" s="18"/>
      <c r="F42" s="18"/>
      <c r="G42" s="18"/>
      <c r="H42" s="18"/>
      <c r="I42" s="15" t="str">
        <f t="shared" si="1"/>
        <v/>
      </c>
      <c r="J42" s="15"/>
      <c r="K42" s="15"/>
      <c r="L42" s="15" t="str">
        <f>IF($A42="","",Settings!$B$3+SUMIFS($B$2:$B$495,$A$2:$A$495,"&lt;="&amp;$A42)-SUMIFS($J$2:$J$495,$A$2:$A$495,"&lt;="&amp;$A42)-SUMIFS('Weekly Purchases'!$N$2:$N$503,'Weekly Purchases'!$B$2:$B$503,"&lt;&gt;",'Weekly Purchases'!$B$2:$B$503,"&lt;="&amp;$A42)-SUMIFS('Weekly Purchases'!$N$2:$N$503,'Weekly Purchases'!$B$2:$B$503,"",'Weekly Purchases'!$A$2:$A$503,"&lt;="&amp;$A42))</f>
        <v/>
      </c>
      <c r="M42" s="15" t="str">
        <f>IF($A42="","",Settings!$B$4+SUMIFS($C$2:$C$495,$A$2:$A$495,"&lt;="&amp;$A42)-SUMIFS($K$2:$K$495,$A$2:$A$495,"&lt;="&amp;$A42)-SUMIFS('Weekly Purchases'!$O$2:$O$503,'Weekly Purchases'!$B$2:$B$503,"&lt;&gt;",'Weekly Purchases'!$B$2:$B$503,"&lt;="&amp;$A42)-SUMIFS('Weekly Purchases'!$O$2:$O$503,'Weekly Purchases'!$B$2:$B$503,"",'Weekly Purchases'!$A$2:$A$503,"&lt;="&amp;$A42))</f>
        <v/>
      </c>
      <c r="N42" s="15" t="str">
        <f t="shared" si="2"/>
        <v/>
      </c>
      <c r="O42" s="15" t="str">
        <f t="shared" si="3"/>
        <v/>
      </c>
      <c r="P42" s="19"/>
      <c r="Q42" s="10"/>
      <c r="R42" s="10"/>
      <c r="S42" s="10"/>
      <c r="T42" s="10"/>
      <c r="U42" s="10"/>
    </row>
    <row r="43" spans="1:21">
      <c r="A43" s="17"/>
      <c r="B43" s="18"/>
      <c r="C43" s="18"/>
      <c r="D43" s="15" t="str">
        <f t="shared" si="0"/>
        <v/>
      </c>
      <c r="E43" s="18"/>
      <c r="F43" s="18"/>
      <c r="G43" s="18"/>
      <c r="H43" s="18"/>
      <c r="I43" s="15" t="str">
        <f t="shared" si="1"/>
        <v/>
      </c>
      <c r="J43" s="15"/>
      <c r="K43" s="15"/>
      <c r="L43" s="15" t="str">
        <f>IF($A43="","",Settings!$B$3+SUMIFS($B$2:$B$495,$A$2:$A$495,"&lt;="&amp;$A43)-SUMIFS($J$2:$J$495,$A$2:$A$495,"&lt;="&amp;$A43)-SUMIFS('Weekly Purchases'!$N$2:$N$503,'Weekly Purchases'!$B$2:$B$503,"&lt;&gt;",'Weekly Purchases'!$B$2:$B$503,"&lt;="&amp;$A43)-SUMIFS('Weekly Purchases'!$N$2:$N$503,'Weekly Purchases'!$B$2:$B$503,"",'Weekly Purchases'!$A$2:$A$503,"&lt;="&amp;$A43))</f>
        <v/>
      </c>
      <c r="M43" s="15" t="str">
        <f>IF($A43="","",Settings!$B$4+SUMIFS($C$2:$C$495,$A$2:$A$495,"&lt;="&amp;$A43)-SUMIFS($K$2:$K$495,$A$2:$A$495,"&lt;="&amp;$A43)-SUMIFS('Weekly Purchases'!$O$2:$O$503,'Weekly Purchases'!$B$2:$B$503,"&lt;&gt;",'Weekly Purchases'!$B$2:$B$503,"&lt;="&amp;$A43)-SUMIFS('Weekly Purchases'!$O$2:$O$503,'Weekly Purchases'!$B$2:$B$503,"",'Weekly Purchases'!$A$2:$A$503,"&lt;="&amp;$A43))</f>
        <v/>
      </c>
      <c r="N43" s="15" t="str">
        <f t="shared" si="2"/>
        <v/>
      </c>
      <c r="O43" s="15" t="str">
        <f t="shared" si="3"/>
        <v/>
      </c>
      <c r="P43" s="19"/>
      <c r="Q43" s="10"/>
      <c r="R43" s="10"/>
      <c r="S43" s="10"/>
      <c r="T43" s="10"/>
      <c r="U43" s="10"/>
    </row>
    <row r="44" spans="1:21">
      <c r="A44" s="17"/>
      <c r="B44" s="18"/>
      <c r="C44" s="18"/>
      <c r="D44" s="15" t="str">
        <f t="shared" si="0"/>
        <v/>
      </c>
      <c r="E44" s="18"/>
      <c r="F44" s="18"/>
      <c r="G44" s="18"/>
      <c r="H44" s="18"/>
      <c r="I44" s="15" t="str">
        <f t="shared" si="1"/>
        <v/>
      </c>
      <c r="J44" s="15"/>
      <c r="K44" s="15"/>
      <c r="L44" s="15" t="str">
        <f>IF($A44="","",Settings!$B$3+SUMIFS($B$2:$B$495,$A$2:$A$495,"&lt;="&amp;$A44)-SUMIFS($J$2:$J$495,$A$2:$A$495,"&lt;="&amp;$A44)-SUMIFS('Weekly Purchases'!$N$2:$N$503,'Weekly Purchases'!$B$2:$B$503,"&lt;&gt;",'Weekly Purchases'!$B$2:$B$503,"&lt;="&amp;$A44)-SUMIFS('Weekly Purchases'!$N$2:$N$503,'Weekly Purchases'!$B$2:$B$503,"",'Weekly Purchases'!$A$2:$A$503,"&lt;="&amp;$A44))</f>
        <v/>
      </c>
      <c r="M44" s="15" t="str">
        <f>IF($A44="","",Settings!$B$4+SUMIFS($C$2:$C$495,$A$2:$A$495,"&lt;="&amp;$A44)-SUMIFS($K$2:$K$495,$A$2:$A$495,"&lt;="&amp;$A44)-SUMIFS('Weekly Purchases'!$O$2:$O$503,'Weekly Purchases'!$B$2:$B$503,"&lt;&gt;",'Weekly Purchases'!$B$2:$B$503,"&lt;="&amp;$A44)-SUMIFS('Weekly Purchases'!$O$2:$O$503,'Weekly Purchases'!$B$2:$B$503,"",'Weekly Purchases'!$A$2:$A$503,"&lt;="&amp;$A44))</f>
        <v/>
      </c>
      <c r="N44" s="15" t="str">
        <f t="shared" si="2"/>
        <v/>
      </c>
      <c r="O44" s="15" t="str">
        <f t="shared" si="3"/>
        <v/>
      </c>
      <c r="P44" s="19"/>
      <c r="Q44" s="10"/>
      <c r="R44" s="10"/>
      <c r="S44" s="10"/>
      <c r="T44" s="10"/>
      <c r="U44" s="10"/>
    </row>
    <row r="45" spans="1:21">
      <c r="A45" s="17"/>
      <c r="B45" s="18"/>
      <c r="C45" s="18"/>
      <c r="D45" s="15" t="str">
        <f t="shared" si="0"/>
        <v/>
      </c>
      <c r="E45" s="18"/>
      <c r="F45" s="18"/>
      <c r="G45" s="18"/>
      <c r="H45" s="18"/>
      <c r="I45" s="15" t="str">
        <f t="shared" si="1"/>
        <v/>
      </c>
      <c r="J45" s="15"/>
      <c r="K45" s="15"/>
      <c r="L45" s="15" t="str">
        <f>IF($A45="","",Settings!$B$3+SUMIFS($B$2:$B$495,$A$2:$A$495,"&lt;="&amp;$A45)-SUMIFS($J$2:$J$495,$A$2:$A$495,"&lt;="&amp;$A45)-SUMIFS('Weekly Purchases'!$N$2:$N$503,'Weekly Purchases'!$B$2:$B$503,"&lt;&gt;",'Weekly Purchases'!$B$2:$B$503,"&lt;="&amp;$A45)-SUMIFS('Weekly Purchases'!$N$2:$N$503,'Weekly Purchases'!$B$2:$B$503,"",'Weekly Purchases'!$A$2:$A$503,"&lt;="&amp;$A45))</f>
        <v/>
      </c>
      <c r="M45" s="15" t="str">
        <f>IF($A45="","",Settings!$B$4+SUMIFS($C$2:$C$495,$A$2:$A$495,"&lt;="&amp;$A45)-SUMIFS($K$2:$K$495,$A$2:$A$495,"&lt;="&amp;$A45)-SUMIFS('Weekly Purchases'!$O$2:$O$503,'Weekly Purchases'!$B$2:$B$503,"&lt;&gt;",'Weekly Purchases'!$B$2:$B$503,"&lt;="&amp;$A45)-SUMIFS('Weekly Purchases'!$O$2:$O$503,'Weekly Purchases'!$B$2:$B$503,"",'Weekly Purchases'!$A$2:$A$503,"&lt;="&amp;$A45))</f>
        <v/>
      </c>
      <c r="N45" s="15" t="str">
        <f t="shared" si="2"/>
        <v/>
      </c>
      <c r="O45" s="15" t="str">
        <f t="shared" si="3"/>
        <v/>
      </c>
      <c r="P45" s="19"/>
      <c r="Q45" s="10"/>
      <c r="R45" s="10"/>
      <c r="S45" s="10"/>
      <c r="T45" s="10"/>
      <c r="U45" s="10"/>
    </row>
    <row r="46" spans="1:21">
      <c r="A46" s="17"/>
      <c r="B46" s="18"/>
      <c r="C46" s="18"/>
      <c r="D46" s="15" t="str">
        <f t="shared" si="0"/>
        <v/>
      </c>
      <c r="E46" s="18"/>
      <c r="F46" s="18"/>
      <c r="G46" s="18"/>
      <c r="H46" s="18"/>
      <c r="I46" s="15" t="str">
        <f t="shared" si="1"/>
        <v/>
      </c>
      <c r="J46" s="15"/>
      <c r="K46" s="15"/>
      <c r="L46" s="15" t="str">
        <f>IF($A46="","",Settings!$B$3+SUMIFS($B$2:$B$495,$A$2:$A$495,"&lt;="&amp;$A46)-SUMIFS($J$2:$J$495,$A$2:$A$495,"&lt;="&amp;$A46)-SUMIFS('Weekly Purchases'!$N$2:$N$503,'Weekly Purchases'!$B$2:$B$503,"&lt;&gt;",'Weekly Purchases'!$B$2:$B$503,"&lt;="&amp;$A46)-SUMIFS('Weekly Purchases'!$N$2:$N$503,'Weekly Purchases'!$B$2:$B$503,"",'Weekly Purchases'!$A$2:$A$503,"&lt;="&amp;$A46))</f>
        <v/>
      </c>
      <c r="M46" s="15" t="str">
        <f>IF($A46="","",Settings!$B$4+SUMIFS($C$2:$C$495,$A$2:$A$495,"&lt;="&amp;$A46)-SUMIFS($K$2:$K$495,$A$2:$A$495,"&lt;="&amp;$A46)-SUMIFS('Weekly Purchases'!$O$2:$O$503,'Weekly Purchases'!$B$2:$B$503,"&lt;&gt;",'Weekly Purchases'!$B$2:$B$503,"&lt;="&amp;$A46)-SUMIFS('Weekly Purchases'!$O$2:$O$503,'Weekly Purchases'!$B$2:$B$503,"",'Weekly Purchases'!$A$2:$A$503,"&lt;="&amp;$A46))</f>
        <v/>
      </c>
      <c r="N46" s="15" t="str">
        <f t="shared" si="2"/>
        <v/>
      </c>
      <c r="O46" s="15" t="str">
        <f t="shared" si="3"/>
        <v/>
      </c>
      <c r="P46" s="19"/>
      <c r="Q46" s="10"/>
      <c r="R46" s="10"/>
      <c r="S46" s="10"/>
      <c r="T46" s="10"/>
      <c r="U46" s="10"/>
    </row>
    <row r="47" spans="1:21">
      <c r="A47" s="17"/>
      <c r="B47" s="18"/>
      <c r="C47" s="18"/>
      <c r="D47" s="15" t="str">
        <f t="shared" si="0"/>
        <v/>
      </c>
      <c r="E47" s="18"/>
      <c r="F47" s="18"/>
      <c r="G47" s="18"/>
      <c r="H47" s="18"/>
      <c r="I47" s="15" t="str">
        <f t="shared" si="1"/>
        <v/>
      </c>
      <c r="J47" s="15"/>
      <c r="K47" s="15"/>
      <c r="L47" s="15" t="str">
        <f>IF($A47="","",Settings!$B$3+SUMIFS($B$2:$B$495,$A$2:$A$495,"&lt;="&amp;$A47)-SUMIFS($J$2:$J$495,$A$2:$A$495,"&lt;="&amp;$A47)-SUMIFS('Weekly Purchases'!$N$2:$N$503,'Weekly Purchases'!$B$2:$B$503,"&lt;&gt;",'Weekly Purchases'!$B$2:$B$503,"&lt;="&amp;$A47)-SUMIFS('Weekly Purchases'!$N$2:$N$503,'Weekly Purchases'!$B$2:$B$503,"",'Weekly Purchases'!$A$2:$A$503,"&lt;="&amp;$A47))</f>
        <v/>
      </c>
      <c r="M47" s="15" t="str">
        <f>IF($A47="","",Settings!$B$4+SUMIFS($C$2:$C$495,$A$2:$A$495,"&lt;="&amp;$A47)-SUMIFS($K$2:$K$495,$A$2:$A$495,"&lt;="&amp;$A47)-SUMIFS('Weekly Purchases'!$O$2:$O$503,'Weekly Purchases'!$B$2:$B$503,"&lt;&gt;",'Weekly Purchases'!$B$2:$B$503,"&lt;="&amp;$A47)-SUMIFS('Weekly Purchases'!$O$2:$O$503,'Weekly Purchases'!$B$2:$B$503,"",'Weekly Purchases'!$A$2:$A$503,"&lt;="&amp;$A47))</f>
        <v/>
      </c>
      <c r="N47" s="15" t="str">
        <f t="shared" si="2"/>
        <v/>
      </c>
      <c r="O47" s="15" t="str">
        <f t="shared" si="3"/>
        <v/>
      </c>
      <c r="P47" s="19"/>
      <c r="Q47" s="10"/>
      <c r="R47" s="10"/>
      <c r="S47" s="10"/>
      <c r="T47" s="10"/>
      <c r="U47" s="10"/>
    </row>
    <row r="48" spans="1:21">
      <c r="A48" s="17"/>
      <c r="B48" s="18"/>
      <c r="C48" s="18"/>
      <c r="D48" s="15" t="str">
        <f t="shared" si="0"/>
        <v/>
      </c>
      <c r="E48" s="18"/>
      <c r="F48" s="18"/>
      <c r="G48" s="18"/>
      <c r="H48" s="18"/>
      <c r="I48" s="15" t="str">
        <f t="shared" si="1"/>
        <v/>
      </c>
      <c r="J48" s="15"/>
      <c r="K48" s="15"/>
      <c r="L48" s="15" t="str">
        <f>IF($A48="","",Settings!$B$3+SUMIFS($B$2:$B$495,$A$2:$A$495,"&lt;="&amp;$A48)-SUMIFS($J$2:$J$495,$A$2:$A$495,"&lt;="&amp;$A48)-SUMIFS('Weekly Purchases'!$N$2:$N$503,'Weekly Purchases'!$B$2:$B$503,"&lt;&gt;",'Weekly Purchases'!$B$2:$B$503,"&lt;="&amp;$A48)-SUMIFS('Weekly Purchases'!$N$2:$N$503,'Weekly Purchases'!$B$2:$B$503,"",'Weekly Purchases'!$A$2:$A$503,"&lt;="&amp;$A48))</f>
        <v/>
      </c>
      <c r="M48" s="15" t="str">
        <f>IF($A48="","",Settings!$B$4+SUMIFS($C$2:$C$495,$A$2:$A$495,"&lt;="&amp;$A48)-SUMIFS($K$2:$K$495,$A$2:$A$495,"&lt;="&amp;$A48)-SUMIFS('Weekly Purchases'!$O$2:$O$503,'Weekly Purchases'!$B$2:$B$503,"&lt;&gt;",'Weekly Purchases'!$B$2:$B$503,"&lt;="&amp;$A48)-SUMIFS('Weekly Purchases'!$O$2:$O$503,'Weekly Purchases'!$B$2:$B$503,"",'Weekly Purchases'!$A$2:$A$503,"&lt;="&amp;$A48))</f>
        <v/>
      </c>
      <c r="N48" s="15" t="str">
        <f t="shared" si="2"/>
        <v/>
      </c>
      <c r="O48" s="15" t="str">
        <f t="shared" si="3"/>
        <v/>
      </c>
      <c r="P48" s="19"/>
      <c r="Q48" s="10"/>
      <c r="R48" s="10"/>
      <c r="S48" s="10"/>
      <c r="T48" s="10"/>
      <c r="U48" s="10"/>
    </row>
    <row r="49" spans="1:21">
      <c r="A49" s="17"/>
      <c r="B49" s="18"/>
      <c r="C49" s="18"/>
      <c r="D49" s="15" t="str">
        <f t="shared" si="0"/>
        <v/>
      </c>
      <c r="E49" s="18"/>
      <c r="F49" s="18"/>
      <c r="G49" s="18"/>
      <c r="H49" s="18"/>
      <c r="I49" s="15" t="str">
        <f t="shared" si="1"/>
        <v/>
      </c>
      <c r="J49" s="15"/>
      <c r="K49" s="15"/>
      <c r="L49" s="15" t="str">
        <f>IF($A49="","",Settings!$B$3+SUMIFS($B$2:$B$495,$A$2:$A$495,"&lt;="&amp;$A49)-SUMIFS($J$2:$J$495,$A$2:$A$495,"&lt;="&amp;$A49)-SUMIFS('Weekly Purchases'!$N$2:$N$503,'Weekly Purchases'!$B$2:$B$503,"&lt;&gt;",'Weekly Purchases'!$B$2:$B$503,"&lt;="&amp;$A49)-SUMIFS('Weekly Purchases'!$N$2:$N$503,'Weekly Purchases'!$B$2:$B$503,"",'Weekly Purchases'!$A$2:$A$503,"&lt;="&amp;$A49))</f>
        <v/>
      </c>
      <c r="M49" s="15" t="str">
        <f>IF($A49="","",Settings!$B$4+SUMIFS($C$2:$C$495,$A$2:$A$495,"&lt;="&amp;$A49)-SUMIFS($K$2:$K$495,$A$2:$A$495,"&lt;="&amp;$A49)-SUMIFS('Weekly Purchases'!$O$2:$O$503,'Weekly Purchases'!$B$2:$B$503,"&lt;&gt;",'Weekly Purchases'!$B$2:$B$503,"&lt;="&amp;$A49)-SUMIFS('Weekly Purchases'!$O$2:$O$503,'Weekly Purchases'!$B$2:$B$503,"",'Weekly Purchases'!$A$2:$A$503,"&lt;="&amp;$A49))</f>
        <v/>
      </c>
      <c r="N49" s="15" t="str">
        <f t="shared" si="2"/>
        <v/>
      </c>
      <c r="O49" s="15" t="str">
        <f t="shared" si="3"/>
        <v/>
      </c>
      <c r="P49" s="19"/>
      <c r="Q49" s="10"/>
      <c r="R49" s="10"/>
      <c r="S49" s="10"/>
      <c r="T49" s="10"/>
      <c r="U49" s="10"/>
    </row>
    <row r="50" spans="1:21">
      <c r="A50" s="17"/>
      <c r="B50" s="18"/>
      <c r="C50" s="18"/>
      <c r="D50" s="15" t="str">
        <f t="shared" si="0"/>
        <v/>
      </c>
      <c r="E50" s="18"/>
      <c r="F50" s="18"/>
      <c r="G50" s="18"/>
      <c r="H50" s="18"/>
      <c r="I50" s="15" t="str">
        <f t="shared" si="1"/>
        <v/>
      </c>
      <c r="J50" s="15"/>
      <c r="K50" s="15"/>
      <c r="L50" s="15" t="str">
        <f>IF($A50="","",Settings!$B$3+SUMIFS($B$2:$B$495,$A$2:$A$495,"&lt;="&amp;$A50)-SUMIFS($J$2:$J$495,$A$2:$A$495,"&lt;="&amp;$A50)-SUMIFS('Weekly Purchases'!$N$2:$N$503,'Weekly Purchases'!$B$2:$B$503,"&lt;&gt;",'Weekly Purchases'!$B$2:$B$503,"&lt;="&amp;$A50)-SUMIFS('Weekly Purchases'!$N$2:$N$503,'Weekly Purchases'!$B$2:$B$503,"",'Weekly Purchases'!$A$2:$A$503,"&lt;="&amp;$A50))</f>
        <v/>
      </c>
      <c r="M50" s="15" t="str">
        <f>IF($A50="","",Settings!$B$4+SUMIFS($C$2:$C$495,$A$2:$A$495,"&lt;="&amp;$A50)-SUMIFS($K$2:$K$495,$A$2:$A$495,"&lt;="&amp;$A50)-SUMIFS('Weekly Purchases'!$O$2:$O$503,'Weekly Purchases'!$B$2:$B$503,"&lt;&gt;",'Weekly Purchases'!$B$2:$B$503,"&lt;="&amp;$A50)-SUMIFS('Weekly Purchases'!$O$2:$O$503,'Weekly Purchases'!$B$2:$B$503,"",'Weekly Purchases'!$A$2:$A$503,"&lt;="&amp;$A50))</f>
        <v/>
      </c>
      <c r="N50" s="15" t="str">
        <f t="shared" si="2"/>
        <v/>
      </c>
      <c r="O50" s="15" t="str">
        <f t="shared" si="3"/>
        <v/>
      </c>
      <c r="P50" s="19"/>
      <c r="Q50" s="10"/>
      <c r="R50" s="10"/>
      <c r="S50" s="10"/>
      <c r="T50" s="10"/>
      <c r="U50" s="10"/>
    </row>
    <row r="51" spans="1:21">
      <c r="A51" s="17"/>
      <c r="B51" s="18"/>
      <c r="C51" s="18"/>
      <c r="D51" s="15" t="str">
        <f t="shared" si="0"/>
        <v/>
      </c>
      <c r="E51" s="18"/>
      <c r="F51" s="18"/>
      <c r="G51" s="18"/>
      <c r="H51" s="18"/>
      <c r="I51" s="15" t="str">
        <f t="shared" si="1"/>
        <v/>
      </c>
      <c r="J51" s="15"/>
      <c r="K51" s="15"/>
      <c r="L51" s="15" t="str">
        <f>IF($A51="","",Settings!$B$3+SUMIFS($B$2:$B$495,$A$2:$A$495,"&lt;="&amp;$A51)-SUMIFS($J$2:$J$495,$A$2:$A$495,"&lt;="&amp;$A51)-SUMIFS('Weekly Purchases'!$N$2:$N$503,'Weekly Purchases'!$B$2:$B$503,"&lt;&gt;",'Weekly Purchases'!$B$2:$B$503,"&lt;="&amp;$A51)-SUMIFS('Weekly Purchases'!$N$2:$N$503,'Weekly Purchases'!$B$2:$B$503,"",'Weekly Purchases'!$A$2:$A$503,"&lt;="&amp;$A51))</f>
        <v/>
      </c>
      <c r="M51" s="15" t="str">
        <f>IF($A51="","",Settings!$B$4+SUMIFS($C$2:$C$495,$A$2:$A$495,"&lt;="&amp;$A51)-SUMIFS($K$2:$K$495,$A$2:$A$495,"&lt;="&amp;$A51)-SUMIFS('Weekly Purchases'!$O$2:$O$503,'Weekly Purchases'!$B$2:$B$503,"&lt;&gt;",'Weekly Purchases'!$B$2:$B$503,"&lt;="&amp;$A51)-SUMIFS('Weekly Purchases'!$O$2:$O$503,'Weekly Purchases'!$B$2:$B$503,"",'Weekly Purchases'!$A$2:$A$503,"&lt;="&amp;$A51))</f>
        <v/>
      </c>
      <c r="N51" s="15" t="str">
        <f t="shared" si="2"/>
        <v/>
      </c>
      <c r="O51" s="15" t="str">
        <f t="shared" si="3"/>
        <v/>
      </c>
      <c r="P51" s="19"/>
      <c r="Q51" s="10"/>
      <c r="R51" s="10"/>
      <c r="S51" s="10"/>
      <c r="T51" s="10"/>
      <c r="U51" s="10"/>
    </row>
    <row r="52" spans="1:21">
      <c r="A52" s="17"/>
      <c r="B52" s="18"/>
      <c r="C52" s="18"/>
      <c r="D52" s="15" t="str">
        <f t="shared" si="0"/>
        <v/>
      </c>
      <c r="E52" s="18"/>
      <c r="F52" s="18"/>
      <c r="G52" s="18"/>
      <c r="H52" s="18"/>
      <c r="I52" s="15" t="str">
        <f t="shared" si="1"/>
        <v/>
      </c>
      <c r="J52" s="15"/>
      <c r="K52" s="15"/>
      <c r="L52" s="15" t="str">
        <f>IF($A52="","",Settings!$B$3+SUMIFS($B$2:$B$495,$A$2:$A$495,"&lt;="&amp;$A52)-SUMIFS($J$2:$J$495,$A$2:$A$495,"&lt;="&amp;$A52)-SUMIFS('Weekly Purchases'!$N$2:$N$503,'Weekly Purchases'!$B$2:$B$503,"&lt;&gt;",'Weekly Purchases'!$B$2:$B$503,"&lt;="&amp;$A52)-SUMIFS('Weekly Purchases'!$N$2:$N$503,'Weekly Purchases'!$B$2:$B$503,"",'Weekly Purchases'!$A$2:$A$503,"&lt;="&amp;$A52))</f>
        <v/>
      </c>
      <c r="M52" s="15" t="str">
        <f>IF($A52="","",Settings!$B$4+SUMIFS($C$2:$C$495,$A$2:$A$495,"&lt;="&amp;$A52)-SUMIFS($K$2:$K$495,$A$2:$A$495,"&lt;="&amp;$A52)-SUMIFS('Weekly Purchases'!$O$2:$O$503,'Weekly Purchases'!$B$2:$B$503,"&lt;&gt;",'Weekly Purchases'!$B$2:$B$503,"&lt;="&amp;$A52)-SUMIFS('Weekly Purchases'!$O$2:$O$503,'Weekly Purchases'!$B$2:$B$503,"",'Weekly Purchases'!$A$2:$A$503,"&lt;="&amp;$A52))</f>
        <v/>
      </c>
      <c r="N52" s="15" t="str">
        <f t="shared" si="2"/>
        <v/>
      </c>
      <c r="O52" s="15" t="str">
        <f t="shared" si="3"/>
        <v/>
      </c>
      <c r="P52" s="19"/>
      <c r="Q52" s="10"/>
      <c r="R52" s="10"/>
      <c r="S52" s="10"/>
      <c r="T52" s="10"/>
      <c r="U52" s="10"/>
    </row>
    <row r="53" spans="1:21">
      <c r="A53" s="17"/>
      <c r="B53" s="18"/>
      <c r="C53" s="18"/>
      <c r="D53" s="15" t="str">
        <f t="shared" si="0"/>
        <v/>
      </c>
      <c r="E53" s="18"/>
      <c r="F53" s="18"/>
      <c r="G53" s="18"/>
      <c r="H53" s="18"/>
      <c r="I53" s="15" t="str">
        <f t="shared" si="1"/>
        <v/>
      </c>
      <c r="J53" s="15"/>
      <c r="K53" s="15"/>
      <c r="L53" s="15" t="str">
        <f>IF($A53="","",Settings!$B$3+SUMIFS($B$2:$B$495,$A$2:$A$495,"&lt;="&amp;$A53)-SUMIFS($J$2:$J$495,$A$2:$A$495,"&lt;="&amp;$A53)-SUMIFS('Weekly Purchases'!$N$2:$N$503,'Weekly Purchases'!$B$2:$B$503,"&lt;&gt;",'Weekly Purchases'!$B$2:$B$503,"&lt;="&amp;$A53)-SUMIFS('Weekly Purchases'!$N$2:$N$503,'Weekly Purchases'!$B$2:$B$503,"",'Weekly Purchases'!$A$2:$A$503,"&lt;="&amp;$A53))</f>
        <v/>
      </c>
      <c r="M53" s="15" t="str">
        <f>IF($A53="","",Settings!$B$4+SUMIFS($C$2:$C$495,$A$2:$A$495,"&lt;="&amp;$A53)-SUMIFS($K$2:$K$495,$A$2:$A$495,"&lt;="&amp;$A53)-SUMIFS('Weekly Purchases'!$O$2:$O$503,'Weekly Purchases'!$B$2:$B$503,"&lt;&gt;",'Weekly Purchases'!$B$2:$B$503,"&lt;="&amp;$A53)-SUMIFS('Weekly Purchases'!$O$2:$O$503,'Weekly Purchases'!$B$2:$B$503,"",'Weekly Purchases'!$A$2:$A$503,"&lt;="&amp;$A53))</f>
        <v/>
      </c>
      <c r="N53" s="15" t="str">
        <f t="shared" si="2"/>
        <v/>
      </c>
      <c r="O53" s="15" t="str">
        <f t="shared" si="3"/>
        <v/>
      </c>
      <c r="P53" s="19"/>
      <c r="Q53" s="10"/>
      <c r="R53" s="10"/>
      <c r="S53" s="10"/>
      <c r="T53" s="10"/>
      <c r="U53" s="10"/>
    </row>
    <row r="54" spans="1:21">
      <c r="A54" s="17"/>
      <c r="B54" s="18"/>
      <c r="C54" s="18"/>
      <c r="D54" s="15" t="str">
        <f t="shared" si="0"/>
        <v/>
      </c>
      <c r="E54" s="18"/>
      <c r="F54" s="18"/>
      <c r="G54" s="18"/>
      <c r="H54" s="18"/>
      <c r="I54" s="15" t="str">
        <f t="shared" si="1"/>
        <v/>
      </c>
      <c r="J54" s="15"/>
      <c r="K54" s="15"/>
      <c r="L54" s="15" t="str">
        <f>IF($A54="","",Settings!$B$3+SUMIFS($B$2:$B$495,$A$2:$A$495,"&lt;="&amp;$A54)-SUMIFS($J$2:$J$495,$A$2:$A$495,"&lt;="&amp;$A54)-SUMIFS('Weekly Purchases'!$N$2:$N$503,'Weekly Purchases'!$B$2:$B$503,"&lt;&gt;",'Weekly Purchases'!$B$2:$B$503,"&lt;="&amp;$A54)-SUMIFS('Weekly Purchases'!$N$2:$N$503,'Weekly Purchases'!$B$2:$B$503,"",'Weekly Purchases'!$A$2:$A$503,"&lt;="&amp;$A54))</f>
        <v/>
      </c>
      <c r="M54" s="15" t="str">
        <f>IF($A54="","",Settings!$B$4+SUMIFS($C$2:$C$495,$A$2:$A$495,"&lt;="&amp;$A54)-SUMIFS($K$2:$K$495,$A$2:$A$495,"&lt;="&amp;$A54)-SUMIFS('Weekly Purchases'!$O$2:$O$503,'Weekly Purchases'!$B$2:$B$503,"&lt;&gt;",'Weekly Purchases'!$B$2:$B$503,"&lt;="&amp;$A54)-SUMIFS('Weekly Purchases'!$O$2:$O$503,'Weekly Purchases'!$B$2:$B$503,"",'Weekly Purchases'!$A$2:$A$503,"&lt;="&amp;$A54))</f>
        <v/>
      </c>
      <c r="N54" s="15" t="str">
        <f t="shared" si="2"/>
        <v/>
      </c>
      <c r="O54" s="15" t="str">
        <f t="shared" si="3"/>
        <v/>
      </c>
      <c r="P54" s="19"/>
      <c r="Q54" s="10"/>
      <c r="R54" s="10"/>
      <c r="S54" s="10"/>
      <c r="T54" s="10"/>
      <c r="U54" s="10"/>
    </row>
    <row r="55" spans="1:21">
      <c r="A55" s="17"/>
      <c r="B55" s="18"/>
      <c r="C55" s="18"/>
      <c r="D55" s="15" t="str">
        <f t="shared" si="0"/>
        <v/>
      </c>
      <c r="E55" s="18"/>
      <c r="F55" s="18"/>
      <c r="G55" s="18"/>
      <c r="H55" s="18"/>
      <c r="I55" s="15" t="str">
        <f t="shared" si="1"/>
        <v/>
      </c>
      <c r="J55" s="15"/>
      <c r="K55" s="15"/>
      <c r="L55" s="15" t="str">
        <f>IF($A55="","",Settings!$B$3+SUMIFS($B$2:$B$495,$A$2:$A$495,"&lt;="&amp;$A55)-SUMIFS($J$2:$J$495,$A$2:$A$495,"&lt;="&amp;$A55)-SUMIFS('Weekly Purchases'!$N$2:$N$503,'Weekly Purchases'!$B$2:$B$503,"&lt;&gt;",'Weekly Purchases'!$B$2:$B$503,"&lt;="&amp;$A55)-SUMIFS('Weekly Purchases'!$N$2:$N$503,'Weekly Purchases'!$B$2:$B$503,"",'Weekly Purchases'!$A$2:$A$503,"&lt;="&amp;$A55))</f>
        <v/>
      </c>
      <c r="M55" s="15" t="str">
        <f>IF($A55="","",Settings!$B$4+SUMIFS($C$2:$C$495,$A$2:$A$495,"&lt;="&amp;$A55)-SUMIFS($K$2:$K$495,$A$2:$A$495,"&lt;="&amp;$A55)-SUMIFS('Weekly Purchases'!$O$2:$O$503,'Weekly Purchases'!$B$2:$B$503,"&lt;&gt;",'Weekly Purchases'!$B$2:$B$503,"&lt;="&amp;$A55)-SUMIFS('Weekly Purchases'!$O$2:$O$503,'Weekly Purchases'!$B$2:$B$503,"",'Weekly Purchases'!$A$2:$A$503,"&lt;="&amp;$A55))</f>
        <v/>
      </c>
      <c r="N55" s="15" t="str">
        <f t="shared" si="2"/>
        <v/>
      </c>
      <c r="O55" s="15" t="str">
        <f t="shared" si="3"/>
        <v/>
      </c>
      <c r="P55" s="19"/>
      <c r="Q55" s="10"/>
      <c r="R55" s="10"/>
      <c r="S55" s="10"/>
      <c r="T55" s="10"/>
      <c r="U55" s="10"/>
    </row>
    <row r="56" spans="1:21">
      <c r="A56" s="17"/>
      <c r="B56" s="18"/>
      <c r="C56" s="18"/>
      <c r="D56" s="15" t="str">
        <f t="shared" si="0"/>
        <v/>
      </c>
      <c r="E56" s="18"/>
      <c r="F56" s="18"/>
      <c r="G56" s="18"/>
      <c r="H56" s="18"/>
      <c r="I56" s="15" t="str">
        <f t="shared" si="1"/>
        <v/>
      </c>
      <c r="J56" s="15"/>
      <c r="K56" s="15"/>
      <c r="L56" s="15" t="str">
        <f>IF($A56="","",Settings!$B$3+SUMIFS($B$2:$B$495,$A$2:$A$495,"&lt;="&amp;$A56)-SUMIFS($J$2:$J$495,$A$2:$A$495,"&lt;="&amp;$A56)-SUMIFS('Weekly Purchases'!$N$2:$N$503,'Weekly Purchases'!$B$2:$B$503,"&lt;&gt;",'Weekly Purchases'!$B$2:$B$503,"&lt;="&amp;$A56)-SUMIFS('Weekly Purchases'!$N$2:$N$503,'Weekly Purchases'!$B$2:$B$503,"",'Weekly Purchases'!$A$2:$A$503,"&lt;="&amp;$A56))</f>
        <v/>
      </c>
      <c r="M56" s="15" t="str">
        <f>IF($A56="","",Settings!$B$4+SUMIFS($C$2:$C$495,$A$2:$A$495,"&lt;="&amp;$A56)-SUMIFS($K$2:$K$495,$A$2:$A$495,"&lt;="&amp;$A56)-SUMIFS('Weekly Purchases'!$O$2:$O$503,'Weekly Purchases'!$B$2:$B$503,"&lt;&gt;",'Weekly Purchases'!$B$2:$B$503,"&lt;="&amp;$A56)-SUMIFS('Weekly Purchases'!$O$2:$O$503,'Weekly Purchases'!$B$2:$B$503,"",'Weekly Purchases'!$A$2:$A$503,"&lt;="&amp;$A56))</f>
        <v/>
      </c>
      <c r="N56" s="15" t="str">
        <f t="shared" si="2"/>
        <v/>
      </c>
      <c r="O56" s="15" t="str">
        <f t="shared" si="3"/>
        <v/>
      </c>
      <c r="P56" s="19"/>
      <c r="Q56" s="10"/>
      <c r="R56" s="10"/>
      <c r="S56" s="10"/>
      <c r="T56" s="10"/>
      <c r="U56" s="10"/>
    </row>
    <row r="57" spans="1:21">
      <c r="A57" s="17"/>
      <c r="B57" s="18"/>
      <c r="C57" s="18"/>
      <c r="D57" s="15" t="str">
        <f t="shared" si="0"/>
        <v/>
      </c>
      <c r="E57" s="18"/>
      <c r="F57" s="18"/>
      <c r="G57" s="18"/>
      <c r="H57" s="18"/>
      <c r="I57" s="15" t="str">
        <f t="shared" si="1"/>
        <v/>
      </c>
      <c r="J57" s="15"/>
      <c r="K57" s="15"/>
      <c r="L57" s="15" t="str">
        <f>IF($A57="","",Settings!$B$3+SUMIFS($B$2:$B$495,$A$2:$A$495,"&lt;="&amp;$A57)-SUMIFS($J$2:$J$495,$A$2:$A$495,"&lt;="&amp;$A57)-SUMIFS('Weekly Purchases'!$N$2:$N$503,'Weekly Purchases'!$B$2:$B$503,"&lt;&gt;",'Weekly Purchases'!$B$2:$B$503,"&lt;="&amp;$A57)-SUMIFS('Weekly Purchases'!$N$2:$N$503,'Weekly Purchases'!$B$2:$B$503,"",'Weekly Purchases'!$A$2:$A$503,"&lt;="&amp;$A57))</f>
        <v/>
      </c>
      <c r="M57" s="15" t="str">
        <f>IF($A57="","",Settings!$B$4+SUMIFS($C$2:$C$495,$A$2:$A$495,"&lt;="&amp;$A57)-SUMIFS($K$2:$K$495,$A$2:$A$495,"&lt;="&amp;$A57)-SUMIFS('Weekly Purchases'!$O$2:$O$503,'Weekly Purchases'!$B$2:$B$503,"&lt;&gt;",'Weekly Purchases'!$B$2:$B$503,"&lt;="&amp;$A57)-SUMIFS('Weekly Purchases'!$O$2:$O$503,'Weekly Purchases'!$B$2:$B$503,"",'Weekly Purchases'!$A$2:$A$503,"&lt;="&amp;$A57))</f>
        <v/>
      </c>
      <c r="N57" s="15" t="str">
        <f t="shared" si="2"/>
        <v/>
      </c>
      <c r="O57" s="15" t="str">
        <f t="shared" si="3"/>
        <v/>
      </c>
      <c r="P57" s="19"/>
      <c r="Q57" s="10"/>
      <c r="R57" s="10"/>
      <c r="S57" s="10"/>
      <c r="T57" s="10"/>
      <c r="U57" s="10"/>
    </row>
    <row r="58" spans="1:21">
      <c r="A58" s="17"/>
      <c r="B58" s="18"/>
      <c r="C58" s="18"/>
      <c r="D58" s="15" t="str">
        <f t="shared" ref="D58:D121" si="4">IF($A58="","",SUM($B58:$C58))</f>
        <v/>
      </c>
      <c r="E58" s="18"/>
      <c r="F58" s="18"/>
      <c r="G58" s="18"/>
      <c r="H58" s="18"/>
      <c r="I58" s="15" t="str">
        <f t="shared" ref="I58:I121" si="5">IF($A58="","",SUM($E58:$H58))</f>
        <v/>
      </c>
      <c r="J58" s="15"/>
      <c r="K58" s="15"/>
      <c r="L58" s="15" t="str">
        <f>IF($A58="","",Settings!$B$3+SUMIFS($B$2:$B$495,$A$2:$A$495,"&lt;="&amp;$A58)-SUMIFS($J$2:$J$495,$A$2:$A$495,"&lt;="&amp;$A58)-SUMIFS('Weekly Purchases'!$N$2:$N$503,'Weekly Purchases'!$B$2:$B$503,"&lt;&gt;",'Weekly Purchases'!$B$2:$B$503,"&lt;="&amp;$A58)-SUMIFS('Weekly Purchases'!$N$2:$N$503,'Weekly Purchases'!$B$2:$B$503,"",'Weekly Purchases'!$A$2:$A$503,"&lt;="&amp;$A58))</f>
        <v/>
      </c>
      <c r="M58" s="15" t="str">
        <f>IF($A58="","",Settings!$B$4+SUMIFS($C$2:$C$495,$A$2:$A$495,"&lt;="&amp;$A58)-SUMIFS($K$2:$K$495,$A$2:$A$495,"&lt;="&amp;$A58)-SUMIFS('Weekly Purchases'!$O$2:$O$503,'Weekly Purchases'!$B$2:$B$503,"&lt;&gt;",'Weekly Purchases'!$B$2:$B$503,"&lt;="&amp;$A58)-SUMIFS('Weekly Purchases'!$O$2:$O$503,'Weekly Purchases'!$B$2:$B$503,"",'Weekly Purchases'!$A$2:$A$503,"&lt;="&amp;$A58))</f>
        <v/>
      </c>
      <c r="N58" s="15" t="str">
        <f t="shared" ref="N58:N121" si="6">IF($A58="","",L58+M58)</f>
        <v/>
      </c>
      <c r="O58" s="15" t="str">
        <f t="shared" ref="O58:O121" si="7">IF($A58="","",D58-I58)</f>
        <v/>
      </c>
      <c r="P58" s="19"/>
      <c r="Q58" s="10"/>
      <c r="R58" s="10"/>
      <c r="S58" s="10"/>
      <c r="T58" s="10"/>
      <c r="U58" s="10"/>
    </row>
    <row r="59" spans="1:21">
      <c r="A59" s="17"/>
      <c r="B59" s="18"/>
      <c r="C59" s="18"/>
      <c r="D59" s="15" t="str">
        <f t="shared" si="4"/>
        <v/>
      </c>
      <c r="E59" s="18"/>
      <c r="F59" s="18"/>
      <c r="G59" s="18"/>
      <c r="H59" s="18"/>
      <c r="I59" s="15" t="str">
        <f t="shared" si="5"/>
        <v/>
      </c>
      <c r="J59" s="15"/>
      <c r="K59" s="15"/>
      <c r="L59" s="15" t="str">
        <f>IF($A59="","",Settings!$B$3+SUMIFS($B$2:$B$495,$A$2:$A$495,"&lt;="&amp;$A59)-SUMIFS($J$2:$J$495,$A$2:$A$495,"&lt;="&amp;$A59)-SUMIFS('Weekly Purchases'!$N$2:$N$503,'Weekly Purchases'!$B$2:$B$503,"&lt;&gt;",'Weekly Purchases'!$B$2:$B$503,"&lt;="&amp;$A59)-SUMIFS('Weekly Purchases'!$N$2:$N$503,'Weekly Purchases'!$B$2:$B$503,"",'Weekly Purchases'!$A$2:$A$503,"&lt;="&amp;$A59))</f>
        <v/>
      </c>
      <c r="M59" s="15" t="str">
        <f>IF($A59="","",Settings!$B$4+SUMIFS($C$2:$C$495,$A$2:$A$495,"&lt;="&amp;$A59)-SUMIFS($K$2:$K$495,$A$2:$A$495,"&lt;="&amp;$A59)-SUMIFS('Weekly Purchases'!$O$2:$O$503,'Weekly Purchases'!$B$2:$B$503,"&lt;&gt;",'Weekly Purchases'!$B$2:$B$503,"&lt;="&amp;$A59)-SUMIFS('Weekly Purchases'!$O$2:$O$503,'Weekly Purchases'!$B$2:$B$503,"",'Weekly Purchases'!$A$2:$A$503,"&lt;="&amp;$A59))</f>
        <v/>
      </c>
      <c r="N59" s="15" t="str">
        <f t="shared" si="6"/>
        <v/>
      </c>
      <c r="O59" s="15" t="str">
        <f t="shared" si="7"/>
        <v/>
      </c>
      <c r="P59" s="19"/>
      <c r="Q59" s="10"/>
      <c r="R59" s="10"/>
      <c r="S59" s="10"/>
      <c r="T59" s="10"/>
      <c r="U59" s="10"/>
    </row>
    <row r="60" spans="1:21">
      <c r="A60" s="17"/>
      <c r="B60" s="18"/>
      <c r="C60" s="18"/>
      <c r="D60" s="15" t="str">
        <f t="shared" si="4"/>
        <v/>
      </c>
      <c r="E60" s="18"/>
      <c r="F60" s="18"/>
      <c r="G60" s="18"/>
      <c r="H60" s="18"/>
      <c r="I60" s="15" t="str">
        <f t="shared" si="5"/>
        <v/>
      </c>
      <c r="J60" s="15"/>
      <c r="K60" s="15"/>
      <c r="L60" s="15" t="str">
        <f>IF($A60="","",Settings!$B$3+SUMIFS($B$2:$B$495,$A$2:$A$495,"&lt;="&amp;$A60)-SUMIFS($J$2:$J$495,$A$2:$A$495,"&lt;="&amp;$A60)-SUMIFS('Weekly Purchases'!$N$2:$N$503,'Weekly Purchases'!$B$2:$B$503,"&lt;&gt;",'Weekly Purchases'!$B$2:$B$503,"&lt;="&amp;$A60)-SUMIFS('Weekly Purchases'!$N$2:$N$503,'Weekly Purchases'!$B$2:$B$503,"",'Weekly Purchases'!$A$2:$A$503,"&lt;="&amp;$A60))</f>
        <v/>
      </c>
      <c r="M60" s="15" t="str">
        <f>IF($A60="","",Settings!$B$4+SUMIFS($C$2:$C$495,$A$2:$A$495,"&lt;="&amp;$A60)-SUMIFS($K$2:$K$495,$A$2:$A$495,"&lt;="&amp;$A60)-SUMIFS('Weekly Purchases'!$O$2:$O$503,'Weekly Purchases'!$B$2:$B$503,"&lt;&gt;",'Weekly Purchases'!$B$2:$B$503,"&lt;="&amp;$A60)-SUMIFS('Weekly Purchases'!$O$2:$O$503,'Weekly Purchases'!$B$2:$B$503,"",'Weekly Purchases'!$A$2:$A$503,"&lt;="&amp;$A60))</f>
        <v/>
      </c>
      <c r="N60" s="15" t="str">
        <f t="shared" si="6"/>
        <v/>
      </c>
      <c r="O60" s="15" t="str">
        <f t="shared" si="7"/>
        <v/>
      </c>
      <c r="P60" s="19"/>
      <c r="Q60" s="10"/>
      <c r="R60" s="10"/>
      <c r="S60" s="10"/>
      <c r="T60" s="10"/>
      <c r="U60" s="10"/>
    </row>
    <row r="61" spans="1:21">
      <c r="A61" s="17"/>
      <c r="B61" s="18"/>
      <c r="C61" s="18"/>
      <c r="D61" s="15" t="str">
        <f t="shared" si="4"/>
        <v/>
      </c>
      <c r="E61" s="18"/>
      <c r="F61" s="18"/>
      <c r="G61" s="18"/>
      <c r="H61" s="18"/>
      <c r="I61" s="15" t="str">
        <f t="shared" si="5"/>
        <v/>
      </c>
      <c r="J61" s="15"/>
      <c r="K61" s="15"/>
      <c r="L61" s="15" t="str">
        <f>IF($A61="","",Settings!$B$3+SUMIFS($B$2:$B$495,$A$2:$A$495,"&lt;="&amp;$A61)-SUMIFS($J$2:$J$495,$A$2:$A$495,"&lt;="&amp;$A61)-SUMIFS('Weekly Purchases'!$N$2:$N$503,'Weekly Purchases'!$B$2:$B$503,"&lt;&gt;",'Weekly Purchases'!$B$2:$B$503,"&lt;="&amp;$A61)-SUMIFS('Weekly Purchases'!$N$2:$N$503,'Weekly Purchases'!$B$2:$B$503,"",'Weekly Purchases'!$A$2:$A$503,"&lt;="&amp;$A61))</f>
        <v/>
      </c>
      <c r="M61" s="15" t="str">
        <f>IF($A61="","",Settings!$B$4+SUMIFS($C$2:$C$495,$A$2:$A$495,"&lt;="&amp;$A61)-SUMIFS($K$2:$K$495,$A$2:$A$495,"&lt;="&amp;$A61)-SUMIFS('Weekly Purchases'!$O$2:$O$503,'Weekly Purchases'!$B$2:$B$503,"&lt;&gt;",'Weekly Purchases'!$B$2:$B$503,"&lt;="&amp;$A61)-SUMIFS('Weekly Purchases'!$O$2:$O$503,'Weekly Purchases'!$B$2:$B$503,"",'Weekly Purchases'!$A$2:$A$503,"&lt;="&amp;$A61))</f>
        <v/>
      </c>
      <c r="N61" s="15" t="str">
        <f t="shared" si="6"/>
        <v/>
      </c>
      <c r="O61" s="15" t="str">
        <f t="shared" si="7"/>
        <v/>
      </c>
      <c r="P61" s="19"/>
      <c r="Q61" s="10"/>
      <c r="R61" s="10"/>
      <c r="S61" s="10"/>
      <c r="T61" s="10"/>
      <c r="U61" s="10"/>
    </row>
    <row r="62" spans="1:21">
      <c r="A62" s="17"/>
      <c r="B62" s="18"/>
      <c r="C62" s="18"/>
      <c r="D62" s="15" t="str">
        <f t="shared" si="4"/>
        <v/>
      </c>
      <c r="E62" s="18"/>
      <c r="F62" s="18"/>
      <c r="G62" s="18"/>
      <c r="H62" s="18"/>
      <c r="I62" s="15" t="str">
        <f t="shared" si="5"/>
        <v/>
      </c>
      <c r="J62" s="15"/>
      <c r="K62" s="15"/>
      <c r="L62" s="15" t="str">
        <f>IF($A62="","",Settings!$B$3+SUMIFS($B$2:$B$495,$A$2:$A$495,"&lt;="&amp;$A62)-SUMIFS($J$2:$J$495,$A$2:$A$495,"&lt;="&amp;$A62)-SUMIFS('Weekly Purchases'!$N$2:$N$503,'Weekly Purchases'!$B$2:$B$503,"&lt;&gt;",'Weekly Purchases'!$B$2:$B$503,"&lt;="&amp;$A62)-SUMIFS('Weekly Purchases'!$N$2:$N$503,'Weekly Purchases'!$B$2:$B$503,"",'Weekly Purchases'!$A$2:$A$503,"&lt;="&amp;$A62))</f>
        <v/>
      </c>
      <c r="M62" s="15" t="str">
        <f>IF($A62="","",Settings!$B$4+SUMIFS($C$2:$C$495,$A$2:$A$495,"&lt;="&amp;$A62)-SUMIFS($K$2:$K$495,$A$2:$A$495,"&lt;="&amp;$A62)-SUMIFS('Weekly Purchases'!$O$2:$O$503,'Weekly Purchases'!$B$2:$B$503,"&lt;&gt;",'Weekly Purchases'!$B$2:$B$503,"&lt;="&amp;$A62)-SUMIFS('Weekly Purchases'!$O$2:$O$503,'Weekly Purchases'!$B$2:$B$503,"",'Weekly Purchases'!$A$2:$A$503,"&lt;="&amp;$A62))</f>
        <v/>
      </c>
      <c r="N62" s="15" t="str">
        <f t="shared" si="6"/>
        <v/>
      </c>
      <c r="O62" s="15" t="str">
        <f t="shared" si="7"/>
        <v/>
      </c>
      <c r="P62" s="19"/>
      <c r="Q62" s="10"/>
      <c r="R62" s="10"/>
      <c r="S62" s="10"/>
      <c r="T62" s="10"/>
      <c r="U62" s="10"/>
    </row>
    <row r="63" spans="1:21">
      <c r="A63" s="17"/>
      <c r="B63" s="18"/>
      <c r="C63" s="18"/>
      <c r="D63" s="15" t="str">
        <f t="shared" si="4"/>
        <v/>
      </c>
      <c r="E63" s="18"/>
      <c r="F63" s="18"/>
      <c r="G63" s="18"/>
      <c r="H63" s="18"/>
      <c r="I63" s="15" t="str">
        <f t="shared" si="5"/>
        <v/>
      </c>
      <c r="J63" s="15"/>
      <c r="K63" s="15"/>
      <c r="L63" s="15" t="str">
        <f>IF($A63="","",Settings!$B$3+SUMIFS($B$2:$B$495,$A$2:$A$495,"&lt;="&amp;$A63)-SUMIFS($J$2:$J$495,$A$2:$A$495,"&lt;="&amp;$A63)-SUMIFS('Weekly Purchases'!$N$2:$N$503,'Weekly Purchases'!$B$2:$B$503,"&lt;&gt;",'Weekly Purchases'!$B$2:$B$503,"&lt;="&amp;$A63)-SUMIFS('Weekly Purchases'!$N$2:$N$503,'Weekly Purchases'!$B$2:$B$503,"",'Weekly Purchases'!$A$2:$A$503,"&lt;="&amp;$A63))</f>
        <v/>
      </c>
      <c r="M63" s="15" t="str">
        <f>IF($A63="","",Settings!$B$4+SUMIFS($C$2:$C$495,$A$2:$A$495,"&lt;="&amp;$A63)-SUMIFS($K$2:$K$495,$A$2:$A$495,"&lt;="&amp;$A63)-SUMIFS('Weekly Purchases'!$O$2:$O$503,'Weekly Purchases'!$B$2:$B$503,"&lt;&gt;",'Weekly Purchases'!$B$2:$B$503,"&lt;="&amp;$A63)-SUMIFS('Weekly Purchases'!$O$2:$O$503,'Weekly Purchases'!$B$2:$B$503,"",'Weekly Purchases'!$A$2:$A$503,"&lt;="&amp;$A63))</f>
        <v/>
      </c>
      <c r="N63" s="15" t="str">
        <f t="shared" si="6"/>
        <v/>
      </c>
      <c r="O63" s="15" t="str">
        <f t="shared" si="7"/>
        <v/>
      </c>
      <c r="P63" s="19"/>
      <c r="Q63" s="10"/>
      <c r="R63" s="10"/>
      <c r="S63" s="10"/>
      <c r="T63" s="10"/>
      <c r="U63" s="10"/>
    </row>
    <row r="64" spans="1:21">
      <c r="A64" s="17"/>
      <c r="B64" s="18"/>
      <c r="C64" s="18"/>
      <c r="D64" s="15" t="str">
        <f t="shared" si="4"/>
        <v/>
      </c>
      <c r="E64" s="18"/>
      <c r="F64" s="18"/>
      <c r="G64" s="18"/>
      <c r="H64" s="18"/>
      <c r="I64" s="15" t="str">
        <f t="shared" si="5"/>
        <v/>
      </c>
      <c r="J64" s="15"/>
      <c r="K64" s="15"/>
      <c r="L64" s="15" t="str">
        <f>IF($A64="","",Settings!$B$3+SUMIFS($B$2:$B$495,$A$2:$A$495,"&lt;="&amp;$A64)-SUMIFS($J$2:$J$495,$A$2:$A$495,"&lt;="&amp;$A64)-SUMIFS('Weekly Purchases'!$N$2:$N$503,'Weekly Purchases'!$B$2:$B$503,"&lt;&gt;",'Weekly Purchases'!$B$2:$B$503,"&lt;="&amp;$A64)-SUMIFS('Weekly Purchases'!$N$2:$N$503,'Weekly Purchases'!$B$2:$B$503,"",'Weekly Purchases'!$A$2:$A$503,"&lt;="&amp;$A64))</f>
        <v/>
      </c>
      <c r="M64" s="15" t="str">
        <f>IF($A64="","",Settings!$B$4+SUMIFS($C$2:$C$495,$A$2:$A$495,"&lt;="&amp;$A64)-SUMIFS($K$2:$K$495,$A$2:$A$495,"&lt;="&amp;$A64)-SUMIFS('Weekly Purchases'!$O$2:$O$503,'Weekly Purchases'!$B$2:$B$503,"&lt;&gt;",'Weekly Purchases'!$B$2:$B$503,"&lt;="&amp;$A64)-SUMIFS('Weekly Purchases'!$O$2:$O$503,'Weekly Purchases'!$B$2:$B$503,"",'Weekly Purchases'!$A$2:$A$503,"&lt;="&amp;$A64))</f>
        <v/>
      </c>
      <c r="N64" s="15" t="str">
        <f t="shared" si="6"/>
        <v/>
      </c>
      <c r="O64" s="15" t="str">
        <f t="shared" si="7"/>
        <v/>
      </c>
      <c r="P64" s="19"/>
      <c r="Q64" s="10"/>
      <c r="R64" s="10"/>
      <c r="S64" s="10"/>
      <c r="T64" s="10"/>
      <c r="U64" s="10"/>
    </row>
    <row r="65" spans="1:21">
      <c r="A65" s="17"/>
      <c r="B65" s="18"/>
      <c r="C65" s="18"/>
      <c r="D65" s="15" t="str">
        <f t="shared" si="4"/>
        <v/>
      </c>
      <c r="E65" s="18"/>
      <c r="F65" s="18"/>
      <c r="G65" s="18"/>
      <c r="H65" s="18"/>
      <c r="I65" s="15" t="str">
        <f t="shared" si="5"/>
        <v/>
      </c>
      <c r="J65" s="15"/>
      <c r="K65" s="15"/>
      <c r="L65" s="15" t="str">
        <f>IF($A65="","",Settings!$B$3+SUMIFS($B$2:$B$495,$A$2:$A$495,"&lt;="&amp;$A65)-SUMIFS($J$2:$J$495,$A$2:$A$495,"&lt;="&amp;$A65)-SUMIFS('Weekly Purchases'!$N$2:$N$503,'Weekly Purchases'!$B$2:$B$503,"&lt;&gt;",'Weekly Purchases'!$B$2:$B$503,"&lt;="&amp;$A65)-SUMIFS('Weekly Purchases'!$N$2:$N$503,'Weekly Purchases'!$B$2:$B$503,"",'Weekly Purchases'!$A$2:$A$503,"&lt;="&amp;$A65))</f>
        <v/>
      </c>
      <c r="M65" s="15" t="str">
        <f>IF($A65="","",Settings!$B$4+SUMIFS($C$2:$C$495,$A$2:$A$495,"&lt;="&amp;$A65)-SUMIFS($K$2:$K$495,$A$2:$A$495,"&lt;="&amp;$A65)-SUMIFS('Weekly Purchases'!$O$2:$O$503,'Weekly Purchases'!$B$2:$B$503,"&lt;&gt;",'Weekly Purchases'!$B$2:$B$503,"&lt;="&amp;$A65)-SUMIFS('Weekly Purchases'!$O$2:$O$503,'Weekly Purchases'!$B$2:$B$503,"",'Weekly Purchases'!$A$2:$A$503,"&lt;="&amp;$A65))</f>
        <v/>
      </c>
      <c r="N65" s="15" t="str">
        <f t="shared" si="6"/>
        <v/>
      </c>
      <c r="O65" s="15" t="str">
        <f t="shared" si="7"/>
        <v/>
      </c>
      <c r="P65" s="19"/>
      <c r="Q65" s="10"/>
      <c r="R65" s="10"/>
      <c r="S65" s="10"/>
      <c r="T65" s="10"/>
      <c r="U65" s="10"/>
    </row>
    <row r="66" spans="1:21">
      <c r="A66" s="17"/>
      <c r="B66" s="18"/>
      <c r="C66" s="18"/>
      <c r="D66" s="15" t="str">
        <f t="shared" si="4"/>
        <v/>
      </c>
      <c r="E66" s="18"/>
      <c r="F66" s="18"/>
      <c r="G66" s="18"/>
      <c r="H66" s="18"/>
      <c r="I66" s="15" t="str">
        <f t="shared" si="5"/>
        <v/>
      </c>
      <c r="J66" s="15"/>
      <c r="K66" s="15"/>
      <c r="L66" s="15" t="str">
        <f>IF($A66="","",Settings!$B$3+SUMIFS($B$2:$B$495,$A$2:$A$495,"&lt;="&amp;$A66)-SUMIFS($J$2:$J$495,$A$2:$A$495,"&lt;="&amp;$A66)-SUMIFS('Weekly Purchases'!$N$2:$N$503,'Weekly Purchases'!$B$2:$B$503,"&lt;&gt;",'Weekly Purchases'!$B$2:$B$503,"&lt;="&amp;$A66)-SUMIFS('Weekly Purchases'!$N$2:$N$503,'Weekly Purchases'!$B$2:$B$503,"",'Weekly Purchases'!$A$2:$A$503,"&lt;="&amp;$A66))</f>
        <v/>
      </c>
      <c r="M66" s="15" t="str">
        <f>IF($A66="","",Settings!$B$4+SUMIFS($C$2:$C$495,$A$2:$A$495,"&lt;="&amp;$A66)-SUMIFS($K$2:$K$495,$A$2:$A$495,"&lt;="&amp;$A66)-SUMIFS('Weekly Purchases'!$O$2:$O$503,'Weekly Purchases'!$B$2:$B$503,"&lt;&gt;",'Weekly Purchases'!$B$2:$B$503,"&lt;="&amp;$A66)-SUMIFS('Weekly Purchases'!$O$2:$O$503,'Weekly Purchases'!$B$2:$B$503,"",'Weekly Purchases'!$A$2:$A$503,"&lt;="&amp;$A66))</f>
        <v/>
      </c>
      <c r="N66" s="15" t="str">
        <f t="shared" si="6"/>
        <v/>
      </c>
      <c r="O66" s="15" t="str">
        <f t="shared" si="7"/>
        <v/>
      </c>
      <c r="P66" s="19"/>
      <c r="Q66" s="10"/>
      <c r="R66" s="10"/>
      <c r="S66" s="10"/>
      <c r="T66" s="10"/>
      <c r="U66" s="10"/>
    </row>
    <row r="67" spans="1:21">
      <c r="A67" s="17"/>
      <c r="B67" s="18"/>
      <c r="C67" s="18"/>
      <c r="D67" s="15" t="str">
        <f t="shared" si="4"/>
        <v/>
      </c>
      <c r="E67" s="18"/>
      <c r="F67" s="18"/>
      <c r="G67" s="18"/>
      <c r="H67" s="18"/>
      <c r="I67" s="15" t="str">
        <f t="shared" si="5"/>
        <v/>
      </c>
      <c r="J67" s="15"/>
      <c r="K67" s="15"/>
      <c r="L67" s="15" t="str">
        <f>IF($A67="","",Settings!$B$3+SUMIFS($B$2:$B$495,$A$2:$A$495,"&lt;="&amp;$A67)-SUMIFS($J$2:$J$495,$A$2:$A$495,"&lt;="&amp;$A67)-SUMIFS('Weekly Purchases'!$N$2:$N$503,'Weekly Purchases'!$B$2:$B$503,"&lt;&gt;",'Weekly Purchases'!$B$2:$B$503,"&lt;="&amp;$A67)-SUMIFS('Weekly Purchases'!$N$2:$N$503,'Weekly Purchases'!$B$2:$B$503,"",'Weekly Purchases'!$A$2:$A$503,"&lt;="&amp;$A67))</f>
        <v/>
      </c>
      <c r="M67" s="15" t="str">
        <f>IF($A67="","",Settings!$B$4+SUMIFS($C$2:$C$495,$A$2:$A$495,"&lt;="&amp;$A67)-SUMIFS($K$2:$K$495,$A$2:$A$495,"&lt;="&amp;$A67)-SUMIFS('Weekly Purchases'!$O$2:$O$503,'Weekly Purchases'!$B$2:$B$503,"&lt;&gt;",'Weekly Purchases'!$B$2:$B$503,"&lt;="&amp;$A67)-SUMIFS('Weekly Purchases'!$O$2:$O$503,'Weekly Purchases'!$B$2:$B$503,"",'Weekly Purchases'!$A$2:$A$503,"&lt;="&amp;$A67))</f>
        <v/>
      </c>
      <c r="N67" s="15" t="str">
        <f t="shared" si="6"/>
        <v/>
      </c>
      <c r="O67" s="15" t="str">
        <f t="shared" si="7"/>
        <v/>
      </c>
      <c r="P67" s="19"/>
      <c r="Q67" s="10"/>
      <c r="R67" s="10"/>
      <c r="S67" s="10"/>
      <c r="T67" s="10"/>
      <c r="U67" s="10"/>
    </row>
    <row r="68" spans="1:21">
      <c r="A68" s="17"/>
      <c r="B68" s="18"/>
      <c r="C68" s="18"/>
      <c r="D68" s="15" t="str">
        <f t="shared" si="4"/>
        <v/>
      </c>
      <c r="E68" s="18"/>
      <c r="F68" s="18"/>
      <c r="G68" s="18"/>
      <c r="H68" s="18"/>
      <c r="I68" s="15" t="str">
        <f t="shared" si="5"/>
        <v/>
      </c>
      <c r="J68" s="15"/>
      <c r="K68" s="15"/>
      <c r="L68" s="15" t="str">
        <f>IF($A68="","",Settings!$B$3+SUMIFS($B$2:$B$495,$A$2:$A$495,"&lt;="&amp;$A68)-SUMIFS($J$2:$J$495,$A$2:$A$495,"&lt;="&amp;$A68)-SUMIFS('Weekly Purchases'!$N$2:$N$503,'Weekly Purchases'!$B$2:$B$503,"&lt;&gt;",'Weekly Purchases'!$B$2:$B$503,"&lt;="&amp;$A68)-SUMIFS('Weekly Purchases'!$N$2:$N$503,'Weekly Purchases'!$B$2:$B$503,"",'Weekly Purchases'!$A$2:$A$503,"&lt;="&amp;$A68))</f>
        <v/>
      </c>
      <c r="M68" s="15" t="str">
        <f>IF($A68="","",Settings!$B$4+SUMIFS($C$2:$C$495,$A$2:$A$495,"&lt;="&amp;$A68)-SUMIFS($K$2:$K$495,$A$2:$A$495,"&lt;="&amp;$A68)-SUMIFS('Weekly Purchases'!$O$2:$O$503,'Weekly Purchases'!$B$2:$B$503,"&lt;&gt;",'Weekly Purchases'!$B$2:$B$503,"&lt;="&amp;$A68)-SUMIFS('Weekly Purchases'!$O$2:$O$503,'Weekly Purchases'!$B$2:$B$503,"",'Weekly Purchases'!$A$2:$A$503,"&lt;="&amp;$A68))</f>
        <v/>
      </c>
      <c r="N68" s="15" t="str">
        <f t="shared" si="6"/>
        <v/>
      </c>
      <c r="O68" s="15" t="str">
        <f t="shared" si="7"/>
        <v/>
      </c>
      <c r="P68" s="19"/>
      <c r="Q68" s="10"/>
      <c r="R68" s="10"/>
      <c r="S68" s="10"/>
      <c r="T68" s="10"/>
      <c r="U68" s="10"/>
    </row>
    <row r="69" spans="1:21">
      <c r="A69" s="17"/>
      <c r="B69" s="18"/>
      <c r="C69" s="18"/>
      <c r="D69" s="15" t="str">
        <f t="shared" si="4"/>
        <v/>
      </c>
      <c r="E69" s="18"/>
      <c r="F69" s="18"/>
      <c r="G69" s="18"/>
      <c r="H69" s="18"/>
      <c r="I69" s="15" t="str">
        <f t="shared" si="5"/>
        <v/>
      </c>
      <c r="J69" s="15"/>
      <c r="K69" s="15"/>
      <c r="L69" s="15" t="str">
        <f>IF($A69="","",Settings!$B$3+SUMIFS($B$2:$B$495,$A$2:$A$495,"&lt;="&amp;$A69)-SUMIFS($J$2:$J$495,$A$2:$A$495,"&lt;="&amp;$A69)-SUMIFS('Weekly Purchases'!$N$2:$N$503,'Weekly Purchases'!$B$2:$B$503,"&lt;&gt;",'Weekly Purchases'!$B$2:$B$503,"&lt;="&amp;$A69)-SUMIFS('Weekly Purchases'!$N$2:$N$503,'Weekly Purchases'!$B$2:$B$503,"",'Weekly Purchases'!$A$2:$A$503,"&lt;="&amp;$A69))</f>
        <v/>
      </c>
      <c r="M69" s="15" t="str">
        <f>IF($A69="","",Settings!$B$4+SUMIFS($C$2:$C$495,$A$2:$A$495,"&lt;="&amp;$A69)-SUMIFS($K$2:$K$495,$A$2:$A$495,"&lt;="&amp;$A69)-SUMIFS('Weekly Purchases'!$O$2:$O$503,'Weekly Purchases'!$B$2:$B$503,"&lt;&gt;",'Weekly Purchases'!$B$2:$B$503,"&lt;="&amp;$A69)-SUMIFS('Weekly Purchases'!$O$2:$O$503,'Weekly Purchases'!$B$2:$B$503,"",'Weekly Purchases'!$A$2:$A$503,"&lt;="&amp;$A69))</f>
        <v/>
      </c>
      <c r="N69" s="15" t="str">
        <f t="shared" si="6"/>
        <v/>
      </c>
      <c r="O69" s="15" t="str">
        <f t="shared" si="7"/>
        <v/>
      </c>
      <c r="P69" s="19"/>
      <c r="Q69" s="10"/>
      <c r="R69" s="10"/>
      <c r="S69" s="10"/>
      <c r="T69" s="10"/>
      <c r="U69" s="10"/>
    </row>
    <row r="70" spans="1:21">
      <c r="A70" s="17"/>
      <c r="B70" s="18"/>
      <c r="C70" s="18"/>
      <c r="D70" s="15" t="str">
        <f t="shared" si="4"/>
        <v/>
      </c>
      <c r="E70" s="18"/>
      <c r="F70" s="18"/>
      <c r="G70" s="18"/>
      <c r="H70" s="18"/>
      <c r="I70" s="15" t="str">
        <f t="shared" si="5"/>
        <v/>
      </c>
      <c r="J70" s="15"/>
      <c r="K70" s="15"/>
      <c r="L70" s="15" t="str">
        <f>IF($A70="","",Settings!$B$3+SUMIFS($B$2:$B$495,$A$2:$A$495,"&lt;="&amp;$A70)-SUMIFS($J$2:$J$495,$A$2:$A$495,"&lt;="&amp;$A70)-SUMIFS('Weekly Purchases'!$N$2:$N$503,'Weekly Purchases'!$B$2:$B$503,"&lt;&gt;",'Weekly Purchases'!$B$2:$B$503,"&lt;="&amp;$A70)-SUMIFS('Weekly Purchases'!$N$2:$N$503,'Weekly Purchases'!$B$2:$B$503,"",'Weekly Purchases'!$A$2:$A$503,"&lt;="&amp;$A70))</f>
        <v/>
      </c>
      <c r="M70" s="15" t="str">
        <f>IF($A70="","",Settings!$B$4+SUMIFS($C$2:$C$495,$A$2:$A$495,"&lt;="&amp;$A70)-SUMIFS($K$2:$K$495,$A$2:$A$495,"&lt;="&amp;$A70)-SUMIFS('Weekly Purchases'!$O$2:$O$503,'Weekly Purchases'!$B$2:$B$503,"&lt;&gt;",'Weekly Purchases'!$B$2:$B$503,"&lt;="&amp;$A70)-SUMIFS('Weekly Purchases'!$O$2:$O$503,'Weekly Purchases'!$B$2:$B$503,"",'Weekly Purchases'!$A$2:$A$503,"&lt;="&amp;$A70))</f>
        <v/>
      </c>
      <c r="N70" s="15" t="str">
        <f t="shared" si="6"/>
        <v/>
      </c>
      <c r="O70" s="15" t="str">
        <f t="shared" si="7"/>
        <v/>
      </c>
      <c r="P70" s="19"/>
      <c r="Q70" s="10"/>
      <c r="R70" s="10"/>
      <c r="S70" s="10"/>
      <c r="T70" s="10"/>
      <c r="U70" s="10"/>
    </row>
    <row r="71" spans="1:21">
      <c r="A71" s="17"/>
      <c r="B71" s="18"/>
      <c r="C71" s="18"/>
      <c r="D71" s="15" t="str">
        <f t="shared" si="4"/>
        <v/>
      </c>
      <c r="E71" s="18"/>
      <c r="F71" s="18"/>
      <c r="G71" s="18"/>
      <c r="H71" s="18"/>
      <c r="I71" s="15" t="str">
        <f t="shared" si="5"/>
        <v/>
      </c>
      <c r="J71" s="15"/>
      <c r="K71" s="15"/>
      <c r="L71" s="15" t="str">
        <f>IF($A71="","",Settings!$B$3+SUMIFS($B$2:$B$495,$A$2:$A$495,"&lt;="&amp;$A71)-SUMIFS($J$2:$J$495,$A$2:$A$495,"&lt;="&amp;$A71)-SUMIFS('Weekly Purchases'!$N$2:$N$503,'Weekly Purchases'!$B$2:$B$503,"&lt;&gt;",'Weekly Purchases'!$B$2:$B$503,"&lt;="&amp;$A71)-SUMIFS('Weekly Purchases'!$N$2:$N$503,'Weekly Purchases'!$B$2:$B$503,"",'Weekly Purchases'!$A$2:$A$503,"&lt;="&amp;$A71))</f>
        <v/>
      </c>
      <c r="M71" s="15" t="str">
        <f>IF($A71="","",Settings!$B$4+SUMIFS($C$2:$C$495,$A$2:$A$495,"&lt;="&amp;$A71)-SUMIFS($K$2:$K$495,$A$2:$A$495,"&lt;="&amp;$A71)-SUMIFS('Weekly Purchases'!$O$2:$O$503,'Weekly Purchases'!$B$2:$B$503,"&lt;&gt;",'Weekly Purchases'!$B$2:$B$503,"&lt;="&amp;$A71)-SUMIFS('Weekly Purchases'!$O$2:$O$503,'Weekly Purchases'!$B$2:$B$503,"",'Weekly Purchases'!$A$2:$A$503,"&lt;="&amp;$A71))</f>
        <v/>
      </c>
      <c r="N71" s="15" t="str">
        <f t="shared" si="6"/>
        <v/>
      </c>
      <c r="O71" s="15" t="str">
        <f t="shared" si="7"/>
        <v/>
      </c>
      <c r="P71" s="19"/>
      <c r="Q71" s="10"/>
      <c r="R71" s="10"/>
      <c r="S71" s="10"/>
      <c r="T71" s="10"/>
      <c r="U71" s="10"/>
    </row>
    <row r="72" spans="1:21">
      <c r="A72" s="17"/>
      <c r="B72" s="18"/>
      <c r="C72" s="18"/>
      <c r="D72" s="15" t="str">
        <f t="shared" si="4"/>
        <v/>
      </c>
      <c r="E72" s="18"/>
      <c r="F72" s="18"/>
      <c r="G72" s="18"/>
      <c r="H72" s="18"/>
      <c r="I72" s="15" t="str">
        <f t="shared" si="5"/>
        <v/>
      </c>
      <c r="J72" s="15"/>
      <c r="K72" s="15"/>
      <c r="L72" s="15" t="str">
        <f>IF($A72="","",Settings!$B$3+SUMIFS($B$2:$B$495,$A$2:$A$495,"&lt;="&amp;$A72)-SUMIFS($J$2:$J$495,$A$2:$A$495,"&lt;="&amp;$A72)-SUMIFS('Weekly Purchases'!$N$2:$N$503,'Weekly Purchases'!$B$2:$B$503,"&lt;&gt;",'Weekly Purchases'!$B$2:$B$503,"&lt;="&amp;$A72)-SUMIFS('Weekly Purchases'!$N$2:$N$503,'Weekly Purchases'!$B$2:$B$503,"",'Weekly Purchases'!$A$2:$A$503,"&lt;="&amp;$A72))</f>
        <v/>
      </c>
      <c r="M72" s="15" t="str">
        <f>IF($A72="","",Settings!$B$4+SUMIFS($C$2:$C$495,$A$2:$A$495,"&lt;="&amp;$A72)-SUMIFS($K$2:$K$495,$A$2:$A$495,"&lt;="&amp;$A72)-SUMIFS('Weekly Purchases'!$O$2:$O$503,'Weekly Purchases'!$B$2:$B$503,"&lt;&gt;",'Weekly Purchases'!$B$2:$B$503,"&lt;="&amp;$A72)-SUMIFS('Weekly Purchases'!$O$2:$O$503,'Weekly Purchases'!$B$2:$B$503,"",'Weekly Purchases'!$A$2:$A$503,"&lt;="&amp;$A72))</f>
        <v/>
      </c>
      <c r="N72" s="15" t="str">
        <f t="shared" si="6"/>
        <v/>
      </c>
      <c r="O72" s="15" t="str">
        <f t="shared" si="7"/>
        <v/>
      </c>
      <c r="P72" s="19"/>
      <c r="Q72" s="10"/>
      <c r="R72" s="10"/>
      <c r="S72" s="10"/>
      <c r="T72" s="10"/>
      <c r="U72" s="10"/>
    </row>
    <row r="73" spans="1:21">
      <c r="A73" s="17"/>
      <c r="B73" s="18"/>
      <c r="C73" s="18"/>
      <c r="D73" s="15" t="str">
        <f t="shared" si="4"/>
        <v/>
      </c>
      <c r="E73" s="18"/>
      <c r="F73" s="18"/>
      <c r="G73" s="18"/>
      <c r="H73" s="18"/>
      <c r="I73" s="15" t="str">
        <f t="shared" si="5"/>
        <v/>
      </c>
      <c r="J73" s="15"/>
      <c r="K73" s="15"/>
      <c r="L73" s="15" t="str">
        <f>IF($A73="","",Settings!$B$3+SUMIFS($B$2:$B$495,$A$2:$A$495,"&lt;="&amp;$A73)-SUMIFS($J$2:$J$495,$A$2:$A$495,"&lt;="&amp;$A73)-SUMIFS('Weekly Purchases'!$N$2:$N$503,'Weekly Purchases'!$B$2:$B$503,"&lt;&gt;",'Weekly Purchases'!$B$2:$B$503,"&lt;="&amp;$A73)-SUMIFS('Weekly Purchases'!$N$2:$N$503,'Weekly Purchases'!$B$2:$B$503,"",'Weekly Purchases'!$A$2:$A$503,"&lt;="&amp;$A73))</f>
        <v/>
      </c>
      <c r="M73" s="15" t="str">
        <f>IF($A73="","",Settings!$B$4+SUMIFS($C$2:$C$495,$A$2:$A$495,"&lt;="&amp;$A73)-SUMIFS($K$2:$K$495,$A$2:$A$495,"&lt;="&amp;$A73)-SUMIFS('Weekly Purchases'!$O$2:$O$503,'Weekly Purchases'!$B$2:$B$503,"&lt;&gt;",'Weekly Purchases'!$B$2:$B$503,"&lt;="&amp;$A73)-SUMIFS('Weekly Purchases'!$O$2:$O$503,'Weekly Purchases'!$B$2:$B$503,"",'Weekly Purchases'!$A$2:$A$503,"&lt;="&amp;$A73))</f>
        <v/>
      </c>
      <c r="N73" s="15" t="str">
        <f t="shared" si="6"/>
        <v/>
      </c>
      <c r="O73" s="15" t="str">
        <f t="shared" si="7"/>
        <v/>
      </c>
      <c r="P73" s="19"/>
      <c r="Q73" s="10"/>
      <c r="R73" s="10"/>
      <c r="S73" s="10"/>
      <c r="T73" s="10"/>
      <c r="U73" s="10"/>
    </row>
    <row r="74" spans="1:21">
      <c r="A74" s="17"/>
      <c r="B74" s="18"/>
      <c r="C74" s="18"/>
      <c r="D74" s="15" t="str">
        <f t="shared" si="4"/>
        <v/>
      </c>
      <c r="E74" s="18"/>
      <c r="F74" s="18"/>
      <c r="G74" s="18"/>
      <c r="H74" s="18"/>
      <c r="I74" s="15" t="str">
        <f t="shared" si="5"/>
        <v/>
      </c>
      <c r="J74" s="15"/>
      <c r="K74" s="15"/>
      <c r="L74" s="15" t="str">
        <f>IF($A74="","",Settings!$B$3+SUMIFS($B$2:$B$495,$A$2:$A$495,"&lt;="&amp;$A74)-SUMIFS($J$2:$J$495,$A$2:$A$495,"&lt;="&amp;$A74)-SUMIFS('Weekly Purchases'!$N$2:$N$503,'Weekly Purchases'!$B$2:$B$503,"&lt;&gt;",'Weekly Purchases'!$B$2:$B$503,"&lt;="&amp;$A74)-SUMIFS('Weekly Purchases'!$N$2:$N$503,'Weekly Purchases'!$B$2:$B$503,"",'Weekly Purchases'!$A$2:$A$503,"&lt;="&amp;$A74))</f>
        <v/>
      </c>
      <c r="M74" s="15" t="str">
        <f>IF($A74="","",Settings!$B$4+SUMIFS($C$2:$C$495,$A$2:$A$495,"&lt;="&amp;$A74)-SUMIFS($K$2:$K$495,$A$2:$A$495,"&lt;="&amp;$A74)-SUMIFS('Weekly Purchases'!$O$2:$O$503,'Weekly Purchases'!$B$2:$B$503,"&lt;&gt;",'Weekly Purchases'!$B$2:$B$503,"&lt;="&amp;$A74)-SUMIFS('Weekly Purchases'!$O$2:$O$503,'Weekly Purchases'!$B$2:$B$503,"",'Weekly Purchases'!$A$2:$A$503,"&lt;="&amp;$A74))</f>
        <v/>
      </c>
      <c r="N74" s="15" t="str">
        <f t="shared" si="6"/>
        <v/>
      </c>
      <c r="O74" s="15" t="str">
        <f t="shared" si="7"/>
        <v/>
      </c>
      <c r="P74" s="19"/>
      <c r="Q74" s="10"/>
      <c r="R74" s="10"/>
      <c r="S74" s="10"/>
      <c r="T74" s="10"/>
      <c r="U74" s="10"/>
    </row>
    <row r="75" spans="1:21">
      <c r="A75" s="17"/>
      <c r="B75" s="18"/>
      <c r="C75" s="18"/>
      <c r="D75" s="15" t="str">
        <f t="shared" si="4"/>
        <v/>
      </c>
      <c r="E75" s="18"/>
      <c r="F75" s="18"/>
      <c r="G75" s="18"/>
      <c r="H75" s="18"/>
      <c r="I75" s="15" t="str">
        <f t="shared" si="5"/>
        <v/>
      </c>
      <c r="J75" s="15"/>
      <c r="K75" s="15"/>
      <c r="L75" s="15" t="str">
        <f>IF($A75="","",Settings!$B$3+SUMIFS($B$2:$B$495,$A$2:$A$495,"&lt;="&amp;$A75)-SUMIFS($J$2:$J$495,$A$2:$A$495,"&lt;="&amp;$A75)-SUMIFS('Weekly Purchases'!$N$2:$N$503,'Weekly Purchases'!$B$2:$B$503,"&lt;&gt;",'Weekly Purchases'!$B$2:$B$503,"&lt;="&amp;$A75)-SUMIFS('Weekly Purchases'!$N$2:$N$503,'Weekly Purchases'!$B$2:$B$503,"",'Weekly Purchases'!$A$2:$A$503,"&lt;="&amp;$A75))</f>
        <v/>
      </c>
      <c r="M75" s="15" t="str">
        <f>IF($A75="","",Settings!$B$4+SUMIFS($C$2:$C$495,$A$2:$A$495,"&lt;="&amp;$A75)-SUMIFS($K$2:$K$495,$A$2:$A$495,"&lt;="&amp;$A75)-SUMIFS('Weekly Purchases'!$O$2:$O$503,'Weekly Purchases'!$B$2:$B$503,"&lt;&gt;",'Weekly Purchases'!$B$2:$B$503,"&lt;="&amp;$A75)-SUMIFS('Weekly Purchases'!$O$2:$O$503,'Weekly Purchases'!$B$2:$B$503,"",'Weekly Purchases'!$A$2:$A$503,"&lt;="&amp;$A75))</f>
        <v/>
      </c>
      <c r="N75" s="15" t="str">
        <f t="shared" si="6"/>
        <v/>
      </c>
      <c r="O75" s="15" t="str">
        <f t="shared" si="7"/>
        <v/>
      </c>
      <c r="P75" s="19"/>
      <c r="Q75" s="10"/>
      <c r="R75" s="10"/>
      <c r="S75" s="10"/>
      <c r="T75" s="10"/>
      <c r="U75" s="10"/>
    </row>
    <row r="76" spans="1:21">
      <c r="A76" s="17"/>
      <c r="B76" s="18"/>
      <c r="C76" s="18"/>
      <c r="D76" s="15" t="str">
        <f t="shared" si="4"/>
        <v/>
      </c>
      <c r="E76" s="18"/>
      <c r="F76" s="18"/>
      <c r="G76" s="18"/>
      <c r="H76" s="18"/>
      <c r="I76" s="15" t="str">
        <f t="shared" si="5"/>
        <v/>
      </c>
      <c r="J76" s="15"/>
      <c r="K76" s="15"/>
      <c r="L76" s="15" t="str">
        <f>IF($A76="","",Settings!$B$3+SUMIFS($B$2:$B$495,$A$2:$A$495,"&lt;="&amp;$A76)-SUMIFS($J$2:$J$495,$A$2:$A$495,"&lt;="&amp;$A76)-SUMIFS('Weekly Purchases'!$N$2:$N$503,'Weekly Purchases'!$B$2:$B$503,"&lt;&gt;",'Weekly Purchases'!$B$2:$B$503,"&lt;="&amp;$A76)-SUMIFS('Weekly Purchases'!$N$2:$N$503,'Weekly Purchases'!$B$2:$B$503,"",'Weekly Purchases'!$A$2:$A$503,"&lt;="&amp;$A76))</f>
        <v/>
      </c>
      <c r="M76" s="15" t="str">
        <f>IF($A76="","",Settings!$B$4+SUMIFS($C$2:$C$495,$A$2:$A$495,"&lt;="&amp;$A76)-SUMIFS($K$2:$K$495,$A$2:$A$495,"&lt;="&amp;$A76)-SUMIFS('Weekly Purchases'!$O$2:$O$503,'Weekly Purchases'!$B$2:$B$503,"&lt;&gt;",'Weekly Purchases'!$B$2:$B$503,"&lt;="&amp;$A76)-SUMIFS('Weekly Purchases'!$O$2:$O$503,'Weekly Purchases'!$B$2:$B$503,"",'Weekly Purchases'!$A$2:$A$503,"&lt;="&amp;$A76))</f>
        <v/>
      </c>
      <c r="N76" s="15" t="str">
        <f t="shared" si="6"/>
        <v/>
      </c>
      <c r="O76" s="15" t="str">
        <f t="shared" si="7"/>
        <v/>
      </c>
      <c r="P76" s="19"/>
      <c r="Q76" s="10"/>
      <c r="R76" s="10"/>
      <c r="S76" s="10"/>
      <c r="T76" s="10"/>
      <c r="U76" s="10"/>
    </row>
    <row r="77" spans="1:21">
      <c r="A77" s="17"/>
      <c r="B77" s="18"/>
      <c r="C77" s="18"/>
      <c r="D77" s="15" t="str">
        <f t="shared" si="4"/>
        <v/>
      </c>
      <c r="E77" s="18"/>
      <c r="F77" s="18"/>
      <c r="G77" s="18"/>
      <c r="H77" s="18"/>
      <c r="I77" s="15" t="str">
        <f t="shared" si="5"/>
        <v/>
      </c>
      <c r="J77" s="15"/>
      <c r="K77" s="15"/>
      <c r="L77" s="15" t="str">
        <f>IF($A77="","",Settings!$B$3+SUMIFS($B$2:$B$495,$A$2:$A$495,"&lt;="&amp;$A77)-SUMIFS($J$2:$J$495,$A$2:$A$495,"&lt;="&amp;$A77)-SUMIFS('Weekly Purchases'!$N$2:$N$503,'Weekly Purchases'!$B$2:$B$503,"&lt;&gt;",'Weekly Purchases'!$B$2:$B$503,"&lt;="&amp;$A77)-SUMIFS('Weekly Purchases'!$N$2:$N$503,'Weekly Purchases'!$B$2:$B$503,"",'Weekly Purchases'!$A$2:$A$503,"&lt;="&amp;$A77))</f>
        <v/>
      </c>
      <c r="M77" s="15" t="str">
        <f>IF($A77="","",Settings!$B$4+SUMIFS($C$2:$C$495,$A$2:$A$495,"&lt;="&amp;$A77)-SUMIFS($K$2:$K$495,$A$2:$A$495,"&lt;="&amp;$A77)-SUMIFS('Weekly Purchases'!$O$2:$O$503,'Weekly Purchases'!$B$2:$B$503,"&lt;&gt;",'Weekly Purchases'!$B$2:$B$503,"&lt;="&amp;$A77)-SUMIFS('Weekly Purchases'!$O$2:$O$503,'Weekly Purchases'!$B$2:$B$503,"",'Weekly Purchases'!$A$2:$A$503,"&lt;="&amp;$A77))</f>
        <v/>
      </c>
      <c r="N77" s="15" t="str">
        <f t="shared" si="6"/>
        <v/>
      </c>
      <c r="O77" s="15" t="str">
        <f t="shared" si="7"/>
        <v/>
      </c>
      <c r="P77" s="19"/>
      <c r="Q77" s="10"/>
      <c r="R77" s="10"/>
      <c r="S77" s="10"/>
      <c r="T77" s="10"/>
      <c r="U77" s="10"/>
    </row>
    <row r="78" spans="1:21">
      <c r="A78" s="17"/>
      <c r="B78" s="18"/>
      <c r="C78" s="18"/>
      <c r="D78" s="15" t="str">
        <f t="shared" si="4"/>
        <v/>
      </c>
      <c r="E78" s="18"/>
      <c r="F78" s="18"/>
      <c r="G78" s="18"/>
      <c r="H78" s="18"/>
      <c r="I78" s="15" t="str">
        <f t="shared" si="5"/>
        <v/>
      </c>
      <c r="J78" s="15"/>
      <c r="K78" s="15"/>
      <c r="L78" s="15" t="str">
        <f>IF($A78="","",Settings!$B$3+SUMIFS($B$2:$B$495,$A$2:$A$495,"&lt;="&amp;$A78)-SUMIFS($J$2:$J$495,$A$2:$A$495,"&lt;="&amp;$A78)-SUMIFS('Weekly Purchases'!$N$2:$N$503,'Weekly Purchases'!$B$2:$B$503,"&lt;&gt;",'Weekly Purchases'!$B$2:$B$503,"&lt;="&amp;$A78)-SUMIFS('Weekly Purchases'!$N$2:$N$503,'Weekly Purchases'!$B$2:$B$503,"",'Weekly Purchases'!$A$2:$A$503,"&lt;="&amp;$A78))</f>
        <v/>
      </c>
      <c r="M78" s="15" t="str">
        <f>IF($A78="","",Settings!$B$4+SUMIFS($C$2:$C$495,$A$2:$A$495,"&lt;="&amp;$A78)-SUMIFS($K$2:$K$495,$A$2:$A$495,"&lt;="&amp;$A78)-SUMIFS('Weekly Purchases'!$O$2:$O$503,'Weekly Purchases'!$B$2:$B$503,"&lt;&gt;",'Weekly Purchases'!$B$2:$B$503,"&lt;="&amp;$A78)-SUMIFS('Weekly Purchases'!$O$2:$O$503,'Weekly Purchases'!$B$2:$B$503,"",'Weekly Purchases'!$A$2:$A$503,"&lt;="&amp;$A78))</f>
        <v/>
      </c>
      <c r="N78" s="15" t="str">
        <f t="shared" si="6"/>
        <v/>
      </c>
      <c r="O78" s="15" t="str">
        <f t="shared" si="7"/>
        <v/>
      </c>
      <c r="P78" s="19"/>
      <c r="Q78" s="10"/>
      <c r="R78" s="10"/>
      <c r="S78" s="10"/>
      <c r="T78" s="10"/>
      <c r="U78" s="10"/>
    </row>
    <row r="79" spans="1:21">
      <c r="A79" s="17"/>
      <c r="B79" s="18"/>
      <c r="C79" s="18"/>
      <c r="D79" s="15" t="str">
        <f t="shared" si="4"/>
        <v/>
      </c>
      <c r="E79" s="18"/>
      <c r="F79" s="18"/>
      <c r="G79" s="18"/>
      <c r="H79" s="18"/>
      <c r="I79" s="15" t="str">
        <f t="shared" si="5"/>
        <v/>
      </c>
      <c r="J79" s="15"/>
      <c r="K79" s="15"/>
      <c r="L79" s="15" t="str">
        <f>IF($A79="","",Settings!$B$3+SUMIFS($B$2:$B$495,$A$2:$A$495,"&lt;="&amp;$A79)-SUMIFS($J$2:$J$495,$A$2:$A$495,"&lt;="&amp;$A79)-SUMIFS('Weekly Purchases'!$N$2:$N$503,'Weekly Purchases'!$B$2:$B$503,"&lt;&gt;",'Weekly Purchases'!$B$2:$B$503,"&lt;="&amp;$A79)-SUMIFS('Weekly Purchases'!$N$2:$N$503,'Weekly Purchases'!$B$2:$B$503,"",'Weekly Purchases'!$A$2:$A$503,"&lt;="&amp;$A79))</f>
        <v/>
      </c>
      <c r="M79" s="15" t="str">
        <f>IF($A79="","",Settings!$B$4+SUMIFS($C$2:$C$495,$A$2:$A$495,"&lt;="&amp;$A79)-SUMIFS($K$2:$K$495,$A$2:$A$495,"&lt;="&amp;$A79)-SUMIFS('Weekly Purchases'!$O$2:$O$503,'Weekly Purchases'!$B$2:$B$503,"&lt;&gt;",'Weekly Purchases'!$B$2:$B$503,"&lt;="&amp;$A79)-SUMIFS('Weekly Purchases'!$O$2:$O$503,'Weekly Purchases'!$B$2:$B$503,"",'Weekly Purchases'!$A$2:$A$503,"&lt;="&amp;$A79))</f>
        <v/>
      </c>
      <c r="N79" s="15" t="str">
        <f t="shared" si="6"/>
        <v/>
      </c>
      <c r="O79" s="15" t="str">
        <f t="shared" si="7"/>
        <v/>
      </c>
      <c r="P79" s="19"/>
      <c r="Q79" s="10"/>
      <c r="R79" s="10"/>
      <c r="S79" s="10"/>
      <c r="T79" s="10"/>
      <c r="U79" s="10"/>
    </row>
    <row r="80" spans="1:21">
      <c r="A80" s="17"/>
      <c r="B80" s="18"/>
      <c r="C80" s="18"/>
      <c r="D80" s="15" t="str">
        <f t="shared" si="4"/>
        <v/>
      </c>
      <c r="E80" s="18"/>
      <c r="F80" s="18"/>
      <c r="G80" s="18"/>
      <c r="H80" s="18"/>
      <c r="I80" s="15" t="str">
        <f t="shared" si="5"/>
        <v/>
      </c>
      <c r="J80" s="15"/>
      <c r="K80" s="15"/>
      <c r="L80" s="15" t="str">
        <f>IF($A80="","",Settings!$B$3+SUMIFS($B$2:$B$495,$A$2:$A$495,"&lt;="&amp;$A80)-SUMIFS($J$2:$J$495,$A$2:$A$495,"&lt;="&amp;$A80)-SUMIFS('Weekly Purchases'!$N$2:$N$503,'Weekly Purchases'!$B$2:$B$503,"&lt;&gt;",'Weekly Purchases'!$B$2:$B$503,"&lt;="&amp;$A80)-SUMIFS('Weekly Purchases'!$N$2:$N$503,'Weekly Purchases'!$B$2:$B$503,"",'Weekly Purchases'!$A$2:$A$503,"&lt;="&amp;$A80))</f>
        <v/>
      </c>
      <c r="M80" s="15" t="str">
        <f>IF($A80="","",Settings!$B$4+SUMIFS($C$2:$C$495,$A$2:$A$495,"&lt;="&amp;$A80)-SUMIFS($K$2:$K$495,$A$2:$A$495,"&lt;="&amp;$A80)-SUMIFS('Weekly Purchases'!$O$2:$O$503,'Weekly Purchases'!$B$2:$B$503,"&lt;&gt;",'Weekly Purchases'!$B$2:$B$503,"&lt;="&amp;$A80)-SUMIFS('Weekly Purchases'!$O$2:$O$503,'Weekly Purchases'!$B$2:$B$503,"",'Weekly Purchases'!$A$2:$A$503,"&lt;="&amp;$A80))</f>
        <v/>
      </c>
      <c r="N80" s="15" t="str">
        <f t="shared" si="6"/>
        <v/>
      </c>
      <c r="O80" s="15" t="str">
        <f t="shared" si="7"/>
        <v/>
      </c>
      <c r="P80" s="19"/>
      <c r="Q80" s="10"/>
      <c r="R80" s="10"/>
      <c r="S80" s="10"/>
      <c r="T80" s="10"/>
      <c r="U80" s="10"/>
    </row>
    <row r="81" spans="1:21">
      <c r="A81" s="17"/>
      <c r="B81" s="18"/>
      <c r="C81" s="18"/>
      <c r="D81" s="15" t="str">
        <f t="shared" si="4"/>
        <v/>
      </c>
      <c r="E81" s="18"/>
      <c r="F81" s="18"/>
      <c r="G81" s="18"/>
      <c r="H81" s="18"/>
      <c r="I81" s="15" t="str">
        <f t="shared" si="5"/>
        <v/>
      </c>
      <c r="J81" s="15"/>
      <c r="K81" s="15"/>
      <c r="L81" s="15" t="str">
        <f>IF($A81="","",Settings!$B$3+SUMIFS($B$2:$B$495,$A$2:$A$495,"&lt;="&amp;$A81)-SUMIFS($J$2:$J$495,$A$2:$A$495,"&lt;="&amp;$A81)-SUMIFS('Weekly Purchases'!$N$2:$N$503,'Weekly Purchases'!$B$2:$B$503,"&lt;&gt;",'Weekly Purchases'!$B$2:$B$503,"&lt;="&amp;$A81)-SUMIFS('Weekly Purchases'!$N$2:$N$503,'Weekly Purchases'!$B$2:$B$503,"",'Weekly Purchases'!$A$2:$A$503,"&lt;="&amp;$A81))</f>
        <v/>
      </c>
      <c r="M81" s="15" t="str">
        <f>IF($A81="","",Settings!$B$4+SUMIFS($C$2:$C$495,$A$2:$A$495,"&lt;="&amp;$A81)-SUMIFS($K$2:$K$495,$A$2:$A$495,"&lt;="&amp;$A81)-SUMIFS('Weekly Purchases'!$O$2:$O$503,'Weekly Purchases'!$B$2:$B$503,"&lt;&gt;",'Weekly Purchases'!$B$2:$B$503,"&lt;="&amp;$A81)-SUMIFS('Weekly Purchases'!$O$2:$O$503,'Weekly Purchases'!$B$2:$B$503,"",'Weekly Purchases'!$A$2:$A$503,"&lt;="&amp;$A81))</f>
        <v/>
      </c>
      <c r="N81" s="15" t="str">
        <f t="shared" si="6"/>
        <v/>
      </c>
      <c r="O81" s="15" t="str">
        <f t="shared" si="7"/>
        <v/>
      </c>
      <c r="P81" s="19"/>
      <c r="Q81" s="10"/>
      <c r="R81" s="10"/>
      <c r="S81" s="10"/>
      <c r="T81" s="10"/>
      <c r="U81" s="10"/>
    </row>
    <row r="82" spans="1:21">
      <c r="A82" s="17"/>
      <c r="B82" s="18"/>
      <c r="C82" s="18"/>
      <c r="D82" s="15" t="str">
        <f t="shared" si="4"/>
        <v/>
      </c>
      <c r="E82" s="18"/>
      <c r="F82" s="18"/>
      <c r="G82" s="18"/>
      <c r="H82" s="18"/>
      <c r="I82" s="15" t="str">
        <f t="shared" si="5"/>
        <v/>
      </c>
      <c r="J82" s="15"/>
      <c r="K82" s="15"/>
      <c r="L82" s="15" t="str">
        <f>IF($A82="","",Settings!$B$3+SUMIFS($B$2:$B$495,$A$2:$A$495,"&lt;="&amp;$A82)-SUMIFS($J$2:$J$495,$A$2:$A$495,"&lt;="&amp;$A82)-SUMIFS('Weekly Purchases'!$N$2:$N$503,'Weekly Purchases'!$B$2:$B$503,"&lt;&gt;",'Weekly Purchases'!$B$2:$B$503,"&lt;="&amp;$A82)-SUMIFS('Weekly Purchases'!$N$2:$N$503,'Weekly Purchases'!$B$2:$B$503,"",'Weekly Purchases'!$A$2:$A$503,"&lt;="&amp;$A82))</f>
        <v/>
      </c>
      <c r="M82" s="15" t="str">
        <f>IF($A82="","",Settings!$B$4+SUMIFS($C$2:$C$495,$A$2:$A$495,"&lt;="&amp;$A82)-SUMIFS($K$2:$K$495,$A$2:$A$495,"&lt;="&amp;$A82)-SUMIFS('Weekly Purchases'!$O$2:$O$503,'Weekly Purchases'!$B$2:$B$503,"&lt;&gt;",'Weekly Purchases'!$B$2:$B$503,"&lt;="&amp;$A82)-SUMIFS('Weekly Purchases'!$O$2:$O$503,'Weekly Purchases'!$B$2:$B$503,"",'Weekly Purchases'!$A$2:$A$503,"&lt;="&amp;$A82))</f>
        <v/>
      </c>
      <c r="N82" s="15" t="str">
        <f t="shared" si="6"/>
        <v/>
      </c>
      <c r="O82" s="15" t="str">
        <f t="shared" si="7"/>
        <v/>
      </c>
      <c r="P82" s="19"/>
      <c r="Q82" s="10"/>
      <c r="R82" s="10"/>
      <c r="S82" s="10"/>
      <c r="T82" s="10"/>
      <c r="U82" s="10"/>
    </row>
    <row r="83" spans="1:21">
      <c r="A83" s="17"/>
      <c r="B83" s="18"/>
      <c r="C83" s="18"/>
      <c r="D83" s="15" t="str">
        <f t="shared" si="4"/>
        <v/>
      </c>
      <c r="E83" s="18"/>
      <c r="F83" s="18"/>
      <c r="G83" s="18"/>
      <c r="H83" s="18"/>
      <c r="I83" s="15" t="str">
        <f t="shared" si="5"/>
        <v/>
      </c>
      <c r="J83" s="15"/>
      <c r="K83" s="15"/>
      <c r="L83" s="15" t="str">
        <f>IF($A83="","",Settings!$B$3+SUMIFS($B$2:$B$495,$A$2:$A$495,"&lt;="&amp;$A83)-SUMIFS($J$2:$J$495,$A$2:$A$495,"&lt;="&amp;$A83)-SUMIFS('Weekly Purchases'!$N$2:$N$503,'Weekly Purchases'!$B$2:$B$503,"&lt;&gt;",'Weekly Purchases'!$B$2:$B$503,"&lt;="&amp;$A83)-SUMIFS('Weekly Purchases'!$N$2:$N$503,'Weekly Purchases'!$B$2:$B$503,"",'Weekly Purchases'!$A$2:$A$503,"&lt;="&amp;$A83))</f>
        <v/>
      </c>
      <c r="M83" s="15" t="str">
        <f>IF($A83="","",Settings!$B$4+SUMIFS($C$2:$C$495,$A$2:$A$495,"&lt;="&amp;$A83)-SUMIFS($K$2:$K$495,$A$2:$A$495,"&lt;="&amp;$A83)-SUMIFS('Weekly Purchases'!$O$2:$O$503,'Weekly Purchases'!$B$2:$B$503,"&lt;&gt;",'Weekly Purchases'!$B$2:$B$503,"&lt;="&amp;$A83)-SUMIFS('Weekly Purchases'!$O$2:$O$503,'Weekly Purchases'!$B$2:$B$503,"",'Weekly Purchases'!$A$2:$A$503,"&lt;="&amp;$A83))</f>
        <v/>
      </c>
      <c r="N83" s="15" t="str">
        <f t="shared" si="6"/>
        <v/>
      </c>
      <c r="O83" s="15" t="str">
        <f t="shared" si="7"/>
        <v/>
      </c>
      <c r="P83" s="19"/>
      <c r="Q83" s="10"/>
      <c r="R83" s="10"/>
      <c r="S83" s="10"/>
      <c r="T83" s="10"/>
      <c r="U83" s="10"/>
    </row>
    <row r="84" spans="1:21">
      <c r="A84" s="17"/>
      <c r="B84" s="18"/>
      <c r="C84" s="18"/>
      <c r="D84" s="15" t="str">
        <f t="shared" si="4"/>
        <v/>
      </c>
      <c r="E84" s="18"/>
      <c r="F84" s="18"/>
      <c r="G84" s="18"/>
      <c r="H84" s="18"/>
      <c r="I84" s="15" t="str">
        <f t="shared" si="5"/>
        <v/>
      </c>
      <c r="J84" s="15"/>
      <c r="K84" s="15"/>
      <c r="L84" s="15" t="str">
        <f>IF($A84="","",Settings!$B$3+SUMIFS($B$2:$B$495,$A$2:$A$495,"&lt;="&amp;$A84)-SUMIFS($J$2:$J$495,$A$2:$A$495,"&lt;="&amp;$A84)-SUMIFS('Weekly Purchases'!$N$2:$N$503,'Weekly Purchases'!$B$2:$B$503,"&lt;&gt;",'Weekly Purchases'!$B$2:$B$503,"&lt;="&amp;$A84)-SUMIFS('Weekly Purchases'!$N$2:$N$503,'Weekly Purchases'!$B$2:$B$503,"",'Weekly Purchases'!$A$2:$A$503,"&lt;="&amp;$A84))</f>
        <v/>
      </c>
      <c r="M84" s="15" t="str">
        <f>IF($A84="","",Settings!$B$4+SUMIFS($C$2:$C$495,$A$2:$A$495,"&lt;="&amp;$A84)-SUMIFS($K$2:$K$495,$A$2:$A$495,"&lt;="&amp;$A84)-SUMIFS('Weekly Purchases'!$O$2:$O$503,'Weekly Purchases'!$B$2:$B$503,"&lt;&gt;",'Weekly Purchases'!$B$2:$B$503,"&lt;="&amp;$A84)-SUMIFS('Weekly Purchases'!$O$2:$O$503,'Weekly Purchases'!$B$2:$B$503,"",'Weekly Purchases'!$A$2:$A$503,"&lt;="&amp;$A84))</f>
        <v/>
      </c>
      <c r="N84" s="15" t="str">
        <f t="shared" si="6"/>
        <v/>
      </c>
      <c r="O84" s="15" t="str">
        <f t="shared" si="7"/>
        <v/>
      </c>
      <c r="P84" s="19"/>
      <c r="Q84" s="10"/>
      <c r="R84" s="10"/>
      <c r="S84" s="10"/>
      <c r="T84" s="10"/>
      <c r="U84" s="10"/>
    </row>
    <row r="85" spans="1:21">
      <c r="A85" s="17"/>
      <c r="B85" s="18"/>
      <c r="C85" s="18"/>
      <c r="D85" s="15" t="str">
        <f t="shared" si="4"/>
        <v/>
      </c>
      <c r="E85" s="18"/>
      <c r="F85" s="18"/>
      <c r="G85" s="18"/>
      <c r="H85" s="18"/>
      <c r="I85" s="15" t="str">
        <f t="shared" si="5"/>
        <v/>
      </c>
      <c r="J85" s="15"/>
      <c r="K85" s="15"/>
      <c r="L85" s="15" t="str">
        <f>IF($A85="","",Settings!$B$3+SUMIFS($B$2:$B$495,$A$2:$A$495,"&lt;="&amp;$A85)-SUMIFS($J$2:$J$495,$A$2:$A$495,"&lt;="&amp;$A85)-SUMIFS('Weekly Purchases'!$N$2:$N$503,'Weekly Purchases'!$B$2:$B$503,"&lt;&gt;",'Weekly Purchases'!$B$2:$B$503,"&lt;="&amp;$A85)-SUMIFS('Weekly Purchases'!$N$2:$N$503,'Weekly Purchases'!$B$2:$B$503,"",'Weekly Purchases'!$A$2:$A$503,"&lt;="&amp;$A85))</f>
        <v/>
      </c>
      <c r="M85" s="15" t="str">
        <f>IF($A85="","",Settings!$B$4+SUMIFS($C$2:$C$495,$A$2:$A$495,"&lt;="&amp;$A85)-SUMIFS($K$2:$K$495,$A$2:$A$495,"&lt;="&amp;$A85)-SUMIFS('Weekly Purchases'!$O$2:$O$503,'Weekly Purchases'!$B$2:$B$503,"&lt;&gt;",'Weekly Purchases'!$B$2:$B$503,"&lt;="&amp;$A85)-SUMIFS('Weekly Purchases'!$O$2:$O$503,'Weekly Purchases'!$B$2:$B$503,"",'Weekly Purchases'!$A$2:$A$503,"&lt;="&amp;$A85))</f>
        <v/>
      </c>
      <c r="N85" s="15" t="str">
        <f t="shared" si="6"/>
        <v/>
      </c>
      <c r="O85" s="15" t="str">
        <f t="shared" si="7"/>
        <v/>
      </c>
      <c r="P85" s="19"/>
      <c r="Q85" s="10"/>
      <c r="R85" s="10"/>
      <c r="S85" s="10"/>
      <c r="T85" s="10"/>
      <c r="U85" s="10"/>
    </row>
    <row r="86" spans="1:21">
      <c r="A86" s="17"/>
      <c r="B86" s="18"/>
      <c r="C86" s="18"/>
      <c r="D86" s="15" t="str">
        <f t="shared" si="4"/>
        <v/>
      </c>
      <c r="E86" s="18"/>
      <c r="F86" s="18"/>
      <c r="G86" s="18"/>
      <c r="H86" s="18"/>
      <c r="I86" s="15" t="str">
        <f t="shared" si="5"/>
        <v/>
      </c>
      <c r="J86" s="15"/>
      <c r="K86" s="15"/>
      <c r="L86" s="15" t="str">
        <f>IF($A86="","",Settings!$B$3+SUMIFS($B$2:$B$495,$A$2:$A$495,"&lt;="&amp;$A86)-SUMIFS($J$2:$J$495,$A$2:$A$495,"&lt;="&amp;$A86)-SUMIFS('Weekly Purchases'!$N$2:$N$503,'Weekly Purchases'!$B$2:$B$503,"&lt;&gt;",'Weekly Purchases'!$B$2:$B$503,"&lt;="&amp;$A86)-SUMIFS('Weekly Purchases'!$N$2:$N$503,'Weekly Purchases'!$B$2:$B$503,"",'Weekly Purchases'!$A$2:$A$503,"&lt;="&amp;$A86))</f>
        <v/>
      </c>
      <c r="M86" s="15" t="str">
        <f>IF($A86="","",Settings!$B$4+SUMIFS($C$2:$C$495,$A$2:$A$495,"&lt;="&amp;$A86)-SUMIFS($K$2:$K$495,$A$2:$A$495,"&lt;="&amp;$A86)-SUMIFS('Weekly Purchases'!$O$2:$O$503,'Weekly Purchases'!$B$2:$B$503,"&lt;&gt;",'Weekly Purchases'!$B$2:$B$503,"&lt;="&amp;$A86)-SUMIFS('Weekly Purchases'!$O$2:$O$503,'Weekly Purchases'!$B$2:$B$503,"",'Weekly Purchases'!$A$2:$A$503,"&lt;="&amp;$A86))</f>
        <v/>
      </c>
      <c r="N86" s="15" t="str">
        <f t="shared" si="6"/>
        <v/>
      </c>
      <c r="O86" s="15" t="str">
        <f t="shared" si="7"/>
        <v/>
      </c>
      <c r="P86" s="19"/>
      <c r="Q86" s="10"/>
      <c r="R86" s="10"/>
      <c r="S86" s="10"/>
      <c r="T86" s="10"/>
      <c r="U86" s="10"/>
    </row>
    <row r="87" spans="1:21">
      <c r="A87" s="17"/>
      <c r="B87" s="18"/>
      <c r="C87" s="18"/>
      <c r="D87" s="15" t="str">
        <f t="shared" si="4"/>
        <v/>
      </c>
      <c r="E87" s="18"/>
      <c r="F87" s="18"/>
      <c r="G87" s="18"/>
      <c r="H87" s="18"/>
      <c r="I87" s="15" t="str">
        <f t="shared" si="5"/>
        <v/>
      </c>
      <c r="J87" s="15"/>
      <c r="K87" s="15"/>
      <c r="L87" s="15" t="str">
        <f>IF($A87="","",Settings!$B$3+SUMIFS($B$2:$B$495,$A$2:$A$495,"&lt;="&amp;$A87)-SUMIFS($J$2:$J$495,$A$2:$A$495,"&lt;="&amp;$A87)-SUMIFS('Weekly Purchases'!$N$2:$N$503,'Weekly Purchases'!$B$2:$B$503,"&lt;&gt;",'Weekly Purchases'!$B$2:$B$503,"&lt;="&amp;$A87)-SUMIFS('Weekly Purchases'!$N$2:$N$503,'Weekly Purchases'!$B$2:$B$503,"",'Weekly Purchases'!$A$2:$A$503,"&lt;="&amp;$A87))</f>
        <v/>
      </c>
      <c r="M87" s="15" t="str">
        <f>IF($A87="","",Settings!$B$4+SUMIFS($C$2:$C$495,$A$2:$A$495,"&lt;="&amp;$A87)-SUMIFS($K$2:$K$495,$A$2:$A$495,"&lt;="&amp;$A87)-SUMIFS('Weekly Purchases'!$O$2:$O$503,'Weekly Purchases'!$B$2:$B$503,"&lt;&gt;",'Weekly Purchases'!$B$2:$B$503,"&lt;="&amp;$A87)-SUMIFS('Weekly Purchases'!$O$2:$O$503,'Weekly Purchases'!$B$2:$B$503,"",'Weekly Purchases'!$A$2:$A$503,"&lt;="&amp;$A87))</f>
        <v/>
      </c>
      <c r="N87" s="15" t="str">
        <f t="shared" si="6"/>
        <v/>
      </c>
      <c r="O87" s="15" t="str">
        <f t="shared" si="7"/>
        <v/>
      </c>
      <c r="P87" s="19"/>
      <c r="Q87" s="10"/>
      <c r="R87" s="10"/>
      <c r="S87" s="10"/>
      <c r="T87" s="10"/>
      <c r="U87" s="10"/>
    </row>
    <row r="88" spans="1:21">
      <c r="A88" s="17"/>
      <c r="B88" s="18"/>
      <c r="C88" s="18"/>
      <c r="D88" s="15" t="str">
        <f t="shared" si="4"/>
        <v/>
      </c>
      <c r="E88" s="18"/>
      <c r="F88" s="18"/>
      <c r="G88" s="18"/>
      <c r="H88" s="18"/>
      <c r="I88" s="15" t="str">
        <f t="shared" si="5"/>
        <v/>
      </c>
      <c r="J88" s="15"/>
      <c r="K88" s="15"/>
      <c r="L88" s="15" t="str">
        <f>IF($A88="","",Settings!$B$3+SUMIFS($B$2:$B$495,$A$2:$A$495,"&lt;="&amp;$A88)-SUMIFS($J$2:$J$495,$A$2:$A$495,"&lt;="&amp;$A88)-SUMIFS('Weekly Purchases'!$N$2:$N$503,'Weekly Purchases'!$B$2:$B$503,"&lt;&gt;",'Weekly Purchases'!$B$2:$B$503,"&lt;="&amp;$A88)-SUMIFS('Weekly Purchases'!$N$2:$N$503,'Weekly Purchases'!$B$2:$B$503,"",'Weekly Purchases'!$A$2:$A$503,"&lt;="&amp;$A88))</f>
        <v/>
      </c>
      <c r="M88" s="15" t="str">
        <f>IF($A88="","",Settings!$B$4+SUMIFS($C$2:$C$495,$A$2:$A$495,"&lt;="&amp;$A88)-SUMIFS($K$2:$K$495,$A$2:$A$495,"&lt;="&amp;$A88)-SUMIFS('Weekly Purchases'!$O$2:$O$503,'Weekly Purchases'!$B$2:$B$503,"&lt;&gt;",'Weekly Purchases'!$B$2:$B$503,"&lt;="&amp;$A88)-SUMIFS('Weekly Purchases'!$O$2:$O$503,'Weekly Purchases'!$B$2:$B$503,"",'Weekly Purchases'!$A$2:$A$503,"&lt;="&amp;$A88))</f>
        <v/>
      </c>
      <c r="N88" s="15" t="str">
        <f t="shared" si="6"/>
        <v/>
      </c>
      <c r="O88" s="15" t="str">
        <f t="shared" si="7"/>
        <v/>
      </c>
      <c r="P88" s="19"/>
      <c r="Q88" s="10"/>
      <c r="R88" s="10"/>
      <c r="S88" s="10"/>
      <c r="T88" s="10"/>
      <c r="U88" s="10"/>
    </row>
    <row r="89" spans="1:21">
      <c r="A89" s="17"/>
      <c r="B89" s="18"/>
      <c r="C89" s="18"/>
      <c r="D89" s="15" t="str">
        <f t="shared" si="4"/>
        <v/>
      </c>
      <c r="E89" s="18"/>
      <c r="F89" s="18"/>
      <c r="G89" s="18"/>
      <c r="H89" s="18"/>
      <c r="I89" s="15" t="str">
        <f t="shared" si="5"/>
        <v/>
      </c>
      <c r="J89" s="15"/>
      <c r="K89" s="15"/>
      <c r="L89" s="15" t="str">
        <f>IF($A89="","",Settings!$B$3+SUMIFS($B$2:$B$495,$A$2:$A$495,"&lt;="&amp;$A89)-SUMIFS($J$2:$J$495,$A$2:$A$495,"&lt;="&amp;$A89)-SUMIFS('Weekly Purchases'!$N$2:$N$503,'Weekly Purchases'!$B$2:$B$503,"&lt;&gt;",'Weekly Purchases'!$B$2:$B$503,"&lt;="&amp;$A89)-SUMIFS('Weekly Purchases'!$N$2:$N$503,'Weekly Purchases'!$B$2:$B$503,"",'Weekly Purchases'!$A$2:$A$503,"&lt;="&amp;$A89))</f>
        <v/>
      </c>
      <c r="M89" s="15" t="str">
        <f>IF($A89="","",Settings!$B$4+SUMIFS($C$2:$C$495,$A$2:$A$495,"&lt;="&amp;$A89)-SUMIFS($K$2:$K$495,$A$2:$A$495,"&lt;="&amp;$A89)-SUMIFS('Weekly Purchases'!$O$2:$O$503,'Weekly Purchases'!$B$2:$B$503,"&lt;&gt;",'Weekly Purchases'!$B$2:$B$503,"&lt;="&amp;$A89)-SUMIFS('Weekly Purchases'!$O$2:$O$503,'Weekly Purchases'!$B$2:$B$503,"",'Weekly Purchases'!$A$2:$A$503,"&lt;="&amp;$A89))</f>
        <v/>
      </c>
      <c r="N89" s="15" t="str">
        <f t="shared" si="6"/>
        <v/>
      </c>
      <c r="O89" s="15" t="str">
        <f t="shared" si="7"/>
        <v/>
      </c>
      <c r="P89" s="19"/>
      <c r="Q89" s="10"/>
      <c r="R89" s="10"/>
      <c r="S89" s="10"/>
      <c r="T89" s="10"/>
      <c r="U89" s="10"/>
    </row>
    <row r="90" spans="1:21">
      <c r="A90" s="17"/>
      <c r="B90" s="18"/>
      <c r="C90" s="18"/>
      <c r="D90" s="15" t="str">
        <f t="shared" si="4"/>
        <v/>
      </c>
      <c r="E90" s="18"/>
      <c r="F90" s="18"/>
      <c r="G90" s="18"/>
      <c r="H90" s="18"/>
      <c r="I90" s="15" t="str">
        <f t="shared" si="5"/>
        <v/>
      </c>
      <c r="J90" s="15"/>
      <c r="K90" s="15"/>
      <c r="L90" s="15" t="str">
        <f>IF($A90="","",Settings!$B$3+SUMIFS($B$2:$B$495,$A$2:$A$495,"&lt;="&amp;$A90)-SUMIFS($J$2:$J$495,$A$2:$A$495,"&lt;="&amp;$A90)-SUMIFS('Weekly Purchases'!$N$2:$N$503,'Weekly Purchases'!$B$2:$B$503,"&lt;&gt;",'Weekly Purchases'!$B$2:$B$503,"&lt;="&amp;$A90)-SUMIFS('Weekly Purchases'!$N$2:$N$503,'Weekly Purchases'!$B$2:$B$503,"",'Weekly Purchases'!$A$2:$A$503,"&lt;="&amp;$A90))</f>
        <v/>
      </c>
      <c r="M90" s="15" t="str">
        <f>IF($A90="","",Settings!$B$4+SUMIFS($C$2:$C$495,$A$2:$A$495,"&lt;="&amp;$A90)-SUMIFS($K$2:$K$495,$A$2:$A$495,"&lt;="&amp;$A90)-SUMIFS('Weekly Purchases'!$O$2:$O$503,'Weekly Purchases'!$B$2:$B$503,"&lt;&gt;",'Weekly Purchases'!$B$2:$B$503,"&lt;="&amp;$A90)-SUMIFS('Weekly Purchases'!$O$2:$O$503,'Weekly Purchases'!$B$2:$B$503,"",'Weekly Purchases'!$A$2:$A$503,"&lt;="&amp;$A90))</f>
        <v/>
      </c>
      <c r="N90" s="15" t="str">
        <f t="shared" si="6"/>
        <v/>
      </c>
      <c r="O90" s="15" t="str">
        <f t="shared" si="7"/>
        <v/>
      </c>
      <c r="P90" s="19"/>
      <c r="Q90" s="10"/>
      <c r="R90" s="10"/>
      <c r="S90" s="10"/>
      <c r="T90" s="10"/>
      <c r="U90" s="10"/>
    </row>
    <row r="91" spans="1:21">
      <c r="A91" s="17"/>
      <c r="B91" s="18"/>
      <c r="C91" s="18"/>
      <c r="D91" s="15" t="str">
        <f t="shared" si="4"/>
        <v/>
      </c>
      <c r="E91" s="18"/>
      <c r="F91" s="18"/>
      <c r="G91" s="18"/>
      <c r="H91" s="18"/>
      <c r="I91" s="15" t="str">
        <f t="shared" si="5"/>
        <v/>
      </c>
      <c r="J91" s="15"/>
      <c r="K91" s="15"/>
      <c r="L91" s="15" t="str">
        <f>IF($A91="","",Settings!$B$3+SUMIFS($B$2:$B$495,$A$2:$A$495,"&lt;="&amp;$A91)-SUMIFS($J$2:$J$495,$A$2:$A$495,"&lt;="&amp;$A91)-SUMIFS('Weekly Purchases'!$N$2:$N$503,'Weekly Purchases'!$B$2:$B$503,"&lt;&gt;",'Weekly Purchases'!$B$2:$B$503,"&lt;="&amp;$A91)-SUMIFS('Weekly Purchases'!$N$2:$N$503,'Weekly Purchases'!$B$2:$B$503,"",'Weekly Purchases'!$A$2:$A$503,"&lt;="&amp;$A91))</f>
        <v/>
      </c>
      <c r="M91" s="15" t="str">
        <f>IF($A91="","",Settings!$B$4+SUMIFS($C$2:$C$495,$A$2:$A$495,"&lt;="&amp;$A91)-SUMIFS($K$2:$K$495,$A$2:$A$495,"&lt;="&amp;$A91)-SUMIFS('Weekly Purchases'!$O$2:$O$503,'Weekly Purchases'!$B$2:$B$503,"&lt;&gt;",'Weekly Purchases'!$B$2:$B$503,"&lt;="&amp;$A91)-SUMIFS('Weekly Purchases'!$O$2:$O$503,'Weekly Purchases'!$B$2:$B$503,"",'Weekly Purchases'!$A$2:$A$503,"&lt;="&amp;$A91))</f>
        <v/>
      </c>
      <c r="N91" s="15" t="str">
        <f t="shared" si="6"/>
        <v/>
      </c>
      <c r="O91" s="15" t="str">
        <f t="shared" si="7"/>
        <v/>
      </c>
      <c r="P91" s="19"/>
      <c r="Q91" s="10"/>
      <c r="R91" s="10"/>
      <c r="S91" s="10"/>
      <c r="T91" s="10"/>
      <c r="U91" s="10"/>
    </row>
    <row r="92" spans="1:21">
      <c r="A92" s="17"/>
      <c r="B92" s="18"/>
      <c r="C92" s="18"/>
      <c r="D92" s="15" t="str">
        <f t="shared" si="4"/>
        <v/>
      </c>
      <c r="E92" s="18"/>
      <c r="F92" s="18"/>
      <c r="G92" s="18"/>
      <c r="H92" s="18"/>
      <c r="I92" s="15" t="str">
        <f t="shared" si="5"/>
        <v/>
      </c>
      <c r="J92" s="15"/>
      <c r="K92" s="15"/>
      <c r="L92" s="15" t="str">
        <f>IF($A92="","",Settings!$B$3+SUMIFS($B$2:$B$495,$A$2:$A$495,"&lt;="&amp;$A92)-SUMIFS($J$2:$J$495,$A$2:$A$495,"&lt;="&amp;$A92)-SUMIFS('Weekly Purchases'!$N$2:$N$503,'Weekly Purchases'!$B$2:$B$503,"&lt;&gt;",'Weekly Purchases'!$B$2:$B$503,"&lt;="&amp;$A92)-SUMIFS('Weekly Purchases'!$N$2:$N$503,'Weekly Purchases'!$B$2:$B$503,"",'Weekly Purchases'!$A$2:$A$503,"&lt;="&amp;$A92))</f>
        <v/>
      </c>
      <c r="M92" s="15" t="str">
        <f>IF($A92="","",Settings!$B$4+SUMIFS($C$2:$C$495,$A$2:$A$495,"&lt;="&amp;$A92)-SUMIFS($K$2:$K$495,$A$2:$A$495,"&lt;="&amp;$A92)-SUMIFS('Weekly Purchases'!$O$2:$O$503,'Weekly Purchases'!$B$2:$B$503,"&lt;&gt;",'Weekly Purchases'!$B$2:$B$503,"&lt;="&amp;$A92)-SUMIFS('Weekly Purchases'!$O$2:$O$503,'Weekly Purchases'!$B$2:$B$503,"",'Weekly Purchases'!$A$2:$A$503,"&lt;="&amp;$A92))</f>
        <v/>
      </c>
      <c r="N92" s="15" t="str">
        <f t="shared" si="6"/>
        <v/>
      </c>
      <c r="O92" s="15" t="str">
        <f t="shared" si="7"/>
        <v/>
      </c>
      <c r="P92" s="19"/>
      <c r="Q92" s="10"/>
      <c r="R92" s="10"/>
      <c r="S92" s="10"/>
      <c r="T92" s="10"/>
      <c r="U92" s="10"/>
    </row>
    <row r="93" spans="1:21">
      <c r="A93" s="6"/>
      <c r="B93" s="7"/>
      <c r="C93" s="7"/>
      <c r="D93" s="8" t="str">
        <f t="shared" si="4"/>
        <v/>
      </c>
      <c r="E93" s="7"/>
      <c r="F93" s="7"/>
      <c r="G93" s="7"/>
      <c r="H93" s="7"/>
      <c r="I93" s="8" t="str">
        <f t="shared" si="5"/>
        <v/>
      </c>
      <c r="J93" s="8"/>
      <c r="K93" s="8"/>
      <c r="L93" s="8" t="str">
        <f>IF($A93="","",Settings!$B$3+SUMIFS($B$2:$B$495,$A$2:$A$495,"&lt;="&amp;$A93)-SUMIFS($J$2:$J$495,$A$2:$A$495,"&lt;="&amp;$A93)-SUMIFS('Weekly Purchases'!$N$2:$N$503,'Weekly Purchases'!$B$2:$B$503,"&lt;&gt;",'Weekly Purchases'!$B$2:$B$503,"&lt;="&amp;$A93)-SUMIFS('Weekly Purchases'!$N$2:$N$503,'Weekly Purchases'!$B$2:$B$503,"",'Weekly Purchases'!$A$2:$A$503,"&lt;="&amp;$A93))</f>
        <v/>
      </c>
      <c r="M93" s="8" t="str">
        <f>IF($A93="","",Settings!$B$4+SUMIFS($C$2:$C$495,$A$2:$A$495,"&lt;="&amp;$A93)-SUMIFS($K$2:$K$495,$A$2:$A$495,"&lt;="&amp;$A93)-SUMIFS('Weekly Purchases'!$O$2:$O$503,'Weekly Purchases'!$B$2:$B$503,"&lt;&gt;",'Weekly Purchases'!$B$2:$B$503,"&lt;="&amp;$A93)-SUMIFS('Weekly Purchases'!$O$2:$O$503,'Weekly Purchases'!$B$2:$B$503,"",'Weekly Purchases'!$A$2:$A$503,"&lt;="&amp;$A93))</f>
        <v/>
      </c>
      <c r="N93" s="8" t="str">
        <f t="shared" si="6"/>
        <v/>
      </c>
      <c r="O93" s="8" t="str">
        <f t="shared" si="7"/>
        <v/>
      </c>
      <c r="P93" s="4"/>
    </row>
    <row r="94" spans="1:21">
      <c r="A94" s="6"/>
      <c r="B94" s="7"/>
      <c r="C94" s="7"/>
      <c r="D94" s="8" t="str">
        <f t="shared" si="4"/>
        <v/>
      </c>
      <c r="E94" s="7"/>
      <c r="F94" s="7"/>
      <c r="G94" s="7"/>
      <c r="H94" s="7"/>
      <c r="I94" s="8" t="str">
        <f t="shared" si="5"/>
        <v/>
      </c>
      <c r="J94" s="8"/>
      <c r="K94" s="8"/>
      <c r="L94" s="8" t="str">
        <f>IF($A94="","",Settings!$B$3+SUMIFS($B$2:$B$495,$A$2:$A$495,"&lt;="&amp;$A94)-SUMIFS($J$2:$J$495,$A$2:$A$495,"&lt;="&amp;$A94)-SUMIFS('Weekly Purchases'!$N$2:$N$503,'Weekly Purchases'!$B$2:$B$503,"&lt;&gt;",'Weekly Purchases'!$B$2:$B$503,"&lt;="&amp;$A94)-SUMIFS('Weekly Purchases'!$N$2:$N$503,'Weekly Purchases'!$B$2:$B$503,"",'Weekly Purchases'!$A$2:$A$503,"&lt;="&amp;$A94))</f>
        <v/>
      </c>
      <c r="M94" s="8" t="str">
        <f>IF($A94="","",Settings!$B$4+SUMIFS($C$2:$C$495,$A$2:$A$495,"&lt;="&amp;$A94)-SUMIFS($K$2:$K$495,$A$2:$A$495,"&lt;="&amp;$A94)-SUMIFS('Weekly Purchases'!$O$2:$O$503,'Weekly Purchases'!$B$2:$B$503,"&lt;&gt;",'Weekly Purchases'!$B$2:$B$503,"&lt;="&amp;$A94)-SUMIFS('Weekly Purchases'!$O$2:$O$503,'Weekly Purchases'!$B$2:$B$503,"",'Weekly Purchases'!$A$2:$A$503,"&lt;="&amp;$A94))</f>
        <v/>
      </c>
      <c r="N94" s="8" t="str">
        <f t="shared" si="6"/>
        <v/>
      </c>
      <c r="O94" s="8" t="str">
        <f t="shared" si="7"/>
        <v/>
      </c>
      <c r="P94" s="4"/>
    </row>
    <row r="95" spans="1:21">
      <c r="A95" s="6"/>
      <c r="B95" s="7"/>
      <c r="C95" s="7"/>
      <c r="D95" s="8" t="str">
        <f t="shared" si="4"/>
        <v/>
      </c>
      <c r="E95" s="7"/>
      <c r="F95" s="7"/>
      <c r="G95" s="7"/>
      <c r="H95" s="7"/>
      <c r="I95" s="8" t="str">
        <f t="shared" si="5"/>
        <v/>
      </c>
      <c r="J95" s="8"/>
      <c r="K95" s="8"/>
      <c r="L95" s="8" t="str">
        <f>IF($A95="","",Settings!$B$3+SUMIFS($B$2:$B$495,$A$2:$A$495,"&lt;="&amp;$A95)-SUMIFS($J$2:$J$495,$A$2:$A$495,"&lt;="&amp;$A95)-SUMIFS('Weekly Purchases'!$N$2:$N$503,'Weekly Purchases'!$B$2:$B$503,"&lt;&gt;",'Weekly Purchases'!$B$2:$B$503,"&lt;="&amp;$A95)-SUMIFS('Weekly Purchases'!$N$2:$N$503,'Weekly Purchases'!$B$2:$B$503,"",'Weekly Purchases'!$A$2:$A$503,"&lt;="&amp;$A95))</f>
        <v/>
      </c>
      <c r="M95" s="8" t="str">
        <f>IF($A95="","",Settings!$B$4+SUMIFS($C$2:$C$495,$A$2:$A$495,"&lt;="&amp;$A95)-SUMIFS($K$2:$K$495,$A$2:$A$495,"&lt;="&amp;$A95)-SUMIFS('Weekly Purchases'!$O$2:$O$503,'Weekly Purchases'!$B$2:$B$503,"&lt;&gt;",'Weekly Purchases'!$B$2:$B$503,"&lt;="&amp;$A95)-SUMIFS('Weekly Purchases'!$O$2:$O$503,'Weekly Purchases'!$B$2:$B$503,"",'Weekly Purchases'!$A$2:$A$503,"&lt;="&amp;$A95))</f>
        <v/>
      </c>
      <c r="N95" s="8" t="str">
        <f t="shared" si="6"/>
        <v/>
      </c>
      <c r="O95" s="8" t="str">
        <f t="shared" si="7"/>
        <v/>
      </c>
      <c r="P95" s="4"/>
    </row>
    <row r="96" spans="1:21">
      <c r="A96" s="6"/>
      <c r="B96" s="7"/>
      <c r="C96" s="7"/>
      <c r="D96" s="8" t="str">
        <f t="shared" si="4"/>
        <v/>
      </c>
      <c r="E96" s="7"/>
      <c r="F96" s="7"/>
      <c r="G96" s="7"/>
      <c r="H96" s="7"/>
      <c r="I96" s="8" t="str">
        <f t="shared" si="5"/>
        <v/>
      </c>
      <c r="J96" s="8"/>
      <c r="K96" s="8"/>
      <c r="L96" s="8" t="str">
        <f>IF($A96="","",Settings!$B$3+SUMIFS($B$2:$B$495,$A$2:$A$495,"&lt;="&amp;$A96)-SUMIFS($J$2:$J$495,$A$2:$A$495,"&lt;="&amp;$A96)-SUMIFS('Weekly Purchases'!$N$2:$N$503,'Weekly Purchases'!$B$2:$B$503,"&lt;&gt;",'Weekly Purchases'!$B$2:$B$503,"&lt;="&amp;$A96)-SUMIFS('Weekly Purchases'!$N$2:$N$503,'Weekly Purchases'!$B$2:$B$503,"",'Weekly Purchases'!$A$2:$A$503,"&lt;="&amp;$A96))</f>
        <v/>
      </c>
      <c r="M96" s="8" t="str">
        <f>IF($A96="","",Settings!$B$4+SUMIFS($C$2:$C$495,$A$2:$A$495,"&lt;="&amp;$A96)-SUMIFS($K$2:$K$495,$A$2:$A$495,"&lt;="&amp;$A96)-SUMIFS('Weekly Purchases'!$O$2:$O$503,'Weekly Purchases'!$B$2:$B$503,"&lt;&gt;",'Weekly Purchases'!$B$2:$B$503,"&lt;="&amp;$A96)-SUMIFS('Weekly Purchases'!$O$2:$O$503,'Weekly Purchases'!$B$2:$B$503,"",'Weekly Purchases'!$A$2:$A$503,"&lt;="&amp;$A96))</f>
        <v/>
      </c>
      <c r="N96" s="8" t="str">
        <f t="shared" si="6"/>
        <v/>
      </c>
      <c r="O96" s="8" t="str">
        <f t="shared" si="7"/>
        <v/>
      </c>
      <c r="P96" s="4"/>
    </row>
    <row r="97" spans="1:16">
      <c r="A97" s="6"/>
      <c r="B97" s="7"/>
      <c r="C97" s="7"/>
      <c r="D97" s="8" t="str">
        <f t="shared" si="4"/>
        <v/>
      </c>
      <c r="E97" s="7"/>
      <c r="F97" s="7"/>
      <c r="G97" s="7"/>
      <c r="H97" s="7"/>
      <c r="I97" s="8" t="str">
        <f t="shared" si="5"/>
        <v/>
      </c>
      <c r="J97" s="8"/>
      <c r="K97" s="8"/>
      <c r="L97" s="8" t="str">
        <f>IF($A97="","",Settings!$B$3+SUMIFS($B$2:$B$495,$A$2:$A$495,"&lt;="&amp;$A97)-SUMIFS($J$2:$J$495,$A$2:$A$495,"&lt;="&amp;$A97)-SUMIFS('Weekly Purchases'!$N$2:$N$503,'Weekly Purchases'!$B$2:$B$503,"&lt;&gt;",'Weekly Purchases'!$B$2:$B$503,"&lt;="&amp;$A97)-SUMIFS('Weekly Purchases'!$N$2:$N$503,'Weekly Purchases'!$B$2:$B$503,"",'Weekly Purchases'!$A$2:$A$503,"&lt;="&amp;$A97))</f>
        <v/>
      </c>
      <c r="M97" s="8" t="str">
        <f>IF($A97="","",Settings!$B$4+SUMIFS($C$2:$C$495,$A$2:$A$495,"&lt;="&amp;$A97)-SUMIFS($K$2:$K$495,$A$2:$A$495,"&lt;="&amp;$A97)-SUMIFS('Weekly Purchases'!$O$2:$O$503,'Weekly Purchases'!$B$2:$B$503,"&lt;&gt;",'Weekly Purchases'!$B$2:$B$503,"&lt;="&amp;$A97)-SUMIFS('Weekly Purchases'!$O$2:$O$503,'Weekly Purchases'!$B$2:$B$503,"",'Weekly Purchases'!$A$2:$A$503,"&lt;="&amp;$A97))</f>
        <v/>
      </c>
      <c r="N97" s="8" t="str">
        <f t="shared" si="6"/>
        <v/>
      </c>
      <c r="O97" s="8" t="str">
        <f t="shared" si="7"/>
        <v/>
      </c>
      <c r="P97" s="4"/>
    </row>
    <row r="98" spans="1:16">
      <c r="A98" s="6"/>
      <c r="B98" s="7"/>
      <c r="C98" s="7"/>
      <c r="D98" s="8" t="str">
        <f t="shared" si="4"/>
        <v/>
      </c>
      <c r="E98" s="7"/>
      <c r="F98" s="7"/>
      <c r="G98" s="7"/>
      <c r="H98" s="7"/>
      <c r="I98" s="8" t="str">
        <f t="shared" si="5"/>
        <v/>
      </c>
      <c r="J98" s="8"/>
      <c r="K98" s="8"/>
      <c r="L98" s="8" t="str">
        <f>IF($A98="","",Settings!$B$3+SUMIFS($B$2:$B$495,$A$2:$A$495,"&lt;="&amp;$A98)-SUMIFS($J$2:$J$495,$A$2:$A$495,"&lt;="&amp;$A98)-SUMIFS('Weekly Purchases'!$N$2:$N$503,'Weekly Purchases'!$B$2:$B$503,"&lt;&gt;",'Weekly Purchases'!$B$2:$B$503,"&lt;="&amp;$A98)-SUMIFS('Weekly Purchases'!$N$2:$N$503,'Weekly Purchases'!$B$2:$B$503,"",'Weekly Purchases'!$A$2:$A$503,"&lt;="&amp;$A98))</f>
        <v/>
      </c>
      <c r="M98" s="8" t="str">
        <f>IF($A98="","",Settings!$B$4+SUMIFS($C$2:$C$495,$A$2:$A$495,"&lt;="&amp;$A98)-SUMIFS($K$2:$K$495,$A$2:$A$495,"&lt;="&amp;$A98)-SUMIFS('Weekly Purchases'!$O$2:$O$503,'Weekly Purchases'!$B$2:$B$503,"&lt;&gt;",'Weekly Purchases'!$B$2:$B$503,"&lt;="&amp;$A98)-SUMIFS('Weekly Purchases'!$O$2:$O$503,'Weekly Purchases'!$B$2:$B$503,"",'Weekly Purchases'!$A$2:$A$503,"&lt;="&amp;$A98))</f>
        <v/>
      </c>
      <c r="N98" s="8" t="str">
        <f t="shared" si="6"/>
        <v/>
      </c>
      <c r="O98" s="8" t="str">
        <f t="shared" si="7"/>
        <v/>
      </c>
      <c r="P98" s="4"/>
    </row>
    <row r="99" spans="1:16">
      <c r="A99" s="6"/>
      <c r="B99" s="7"/>
      <c r="C99" s="7"/>
      <c r="D99" s="8" t="str">
        <f t="shared" si="4"/>
        <v/>
      </c>
      <c r="E99" s="7"/>
      <c r="F99" s="7"/>
      <c r="G99" s="7"/>
      <c r="H99" s="7"/>
      <c r="I99" s="8" t="str">
        <f t="shared" si="5"/>
        <v/>
      </c>
      <c r="J99" s="8"/>
      <c r="K99" s="8"/>
      <c r="L99" s="8" t="str">
        <f>IF($A99="","",Settings!$B$3+SUMIFS($B$2:$B$495,$A$2:$A$495,"&lt;="&amp;$A99)-SUMIFS($J$2:$J$495,$A$2:$A$495,"&lt;="&amp;$A99)-SUMIFS('Weekly Purchases'!$N$2:$N$503,'Weekly Purchases'!$B$2:$B$503,"&lt;&gt;",'Weekly Purchases'!$B$2:$B$503,"&lt;="&amp;$A99)-SUMIFS('Weekly Purchases'!$N$2:$N$503,'Weekly Purchases'!$B$2:$B$503,"",'Weekly Purchases'!$A$2:$A$503,"&lt;="&amp;$A99))</f>
        <v/>
      </c>
      <c r="M99" s="8" t="str">
        <f>IF($A99="","",Settings!$B$4+SUMIFS($C$2:$C$495,$A$2:$A$495,"&lt;="&amp;$A99)-SUMIFS($K$2:$K$495,$A$2:$A$495,"&lt;="&amp;$A99)-SUMIFS('Weekly Purchases'!$O$2:$O$503,'Weekly Purchases'!$B$2:$B$503,"&lt;&gt;",'Weekly Purchases'!$B$2:$B$503,"&lt;="&amp;$A99)-SUMIFS('Weekly Purchases'!$O$2:$O$503,'Weekly Purchases'!$B$2:$B$503,"",'Weekly Purchases'!$A$2:$A$503,"&lt;="&amp;$A99))</f>
        <v/>
      </c>
      <c r="N99" s="8" t="str">
        <f t="shared" si="6"/>
        <v/>
      </c>
      <c r="O99" s="8" t="str">
        <f t="shared" si="7"/>
        <v/>
      </c>
      <c r="P99" s="4"/>
    </row>
    <row r="100" spans="1:16">
      <c r="A100" s="6"/>
      <c r="B100" s="7"/>
      <c r="C100" s="7"/>
      <c r="D100" s="8" t="str">
        <f t="shared" si="4"/>
        <v/>
      </c>
      <c r="E100" s="7"/>
      <c r="F100" s="7"/>
      <c r="G100" s="7"/>
      <c r="H100" s="7"/>
      <c r="I100" s="8" t="str">
        <f t="shared" si="5"/>
        <v/>
      </c>
      <c r="J100" s="8"/>
      <c r="K100" s="8"/>
      <c r="L100" s="8" t="str">
        <f>IF($A100="","",Settings!$B$3+SUMIFS($B$2:$B$495,$A$2:$A$495,"&lt;="&amp;$A100)-SUMIFS($J$2:$J$495,$A$2:$A$495,"&lt;="&amp;$A100)-SUMIFS('Weekly Purchases'!$N$2:$N$503,'Weekly Purchases'!$B$2:$B$503,"&lt;&gt;",'Weekly Purchases'!$B$2:$B$503,"&lt;="&amp;$A100)-SUMIFS('Weekly Purchases'!$N$2:$N$503,'Weekly Purchases'!$B$2:$B$503,"",'Weekly Purchases'!$A$2:$A$503,"&lt;="&amp;$A100))</f>
        <v/>
      </c>
      <c r="M100" s="8" t="str">
        <f>IF($A100="","",Settings!$B$4+SUMIFS($C$2:$C$495,$A$2:$A$495,"&lt;="&amp;$A100)-SUMIFS($K$2:$K$495,$A$2:$A$495,"&lt;="&amp;$A100)-SUMIFS('Weekly Purchases'!$O$2:$O$503,'Weekly Purchases'!$B$2:$B$503,"&lt;&gt;",'Weekly Purchases'!$B$2:$B$503,"&lt;="&amp;$A100)-SUMIFS('Weekly Purchases'!$O$2:$O$503,'Weekly Purchases'!$B$2:$B$503,"",'Weekly Purchases'!$A$2:$A$503,"&lt;="&amp;$A100))</f>
        <v/>
      </c>
      <c r="N100" s="8" t="str">
        <f t="shared" si="6"/>
        <v/>
      </c>
      <c r="O100" s="8" t="str">
        <f t="shared" si="7"/>
        <v/>
      </c>
      <c r="P100" s="4"/>
    </row>
    <row r="101" spans="1:16">
      <c r="A101" s="6"/>
      <c r="B101" s="7"/>
      <c r="C101" s="7"/>
      <c r="D101" s="8" t="str">
        <f t="shared" si="4"/>
        <v/>
      </c>
      <c r="E101" s="7"/>
      <c r="F101" s="7"/>
      <c r="G101" s="7"/>
      <c r="H101" s="7"/>
      <c r="I101" s="8" t="str">
        <f t="shared" si="5"/>
        <v/>
      </c>
      <c r="J101" s="8"/>
      <c r="K101" s="8"/>
      <c r="L101" s="8" t="str">
        <f>IF($A101="","",Settings!$B$3+SUMIFS($B$2:$B$495,$A$2:$A$495,"&lt;="&amp;$A101)-SUMIFS($J$2:$J$495,$A$2:$A$495,"&lt;="&amp;$A101)-SUMIFS('Weekly Purchases'!$N$2:$N$503,'Weekly Purchases'!$B$2:$B$503,"&lt;&gt;",'Weekly Purchases'!$B$2:$B$503,"&lt;="&amp;$A101)-SUMIFS('Weekly Purchases'!$N$2:$N$503,'Weekly Purchases'!$B$2:$B$503,"",'Weekly Purchases'!$A$2:$A$503,"&lt;="&amp;$A101))</f>
        <v/>
      </c>
      <c r="M101" s="8" t="str">
        <f>IF($A101="","",Settings!$B$4+SUMIFS($C$2:$C$495,$A$2:$A$495,"&lt;="&amp;$A101)-SUMIFS($K$2:$K$495,$A$2:$A$495,"&lt;="&amp;$A101)-SUMIFS('Weekly Purchases'!$O$2:$O$503,'Weekly Purchases'!$B$2:$B$503,"&lt;&gt;",'Weekly Purchases'!$B$2:$B$503,"&lt;="&amp;$A101)-SUMIFS('Weekly Purchases'!$O$2:$O$503,'Weekly Purchases'!$B$2:$B$503,"",'Weekly Purchases'!$A$2:$A$503,"&lt;="&amp;$A101))</f>
        <v/>
      </c>
      <c r="N101" s="8" t="str">
        <f t="shared" si="6"/>
        <v/>
      </c>
      <c r="O101" s="8" t="str">
        <f t="shared" si="7"/>
        <v/>
      </c>
      <c r="P101" s="4"/>
    </row>
    <row r="102" spans="1:16">
      <c r="A102" s="6"/>
      <c r="B102" s="7"/>
      <c r="C102" s="7"/>
      <c r="D102" s="8" t="str">
        <f t="shared" si="4"/>
        <v/>
      </c>
      <c r="E102" s="7"/>
      <c r="F102" s="7"/>
      <c r="G102" s="7"/>
      <c r="H102" s="7"/>
      <c r="I102" s="8" t="str">
        <f t="shared" si="5"/>
        <v/>
      </c>
      <c r="J102" s="8"/>
      <c r="K102" s="8"/>
      <c r="L102" s="8" t="str">
        <f>IF($A102="","",Settings!$B$3+SUMIFS($B$2:$B$495,$A$2:$A$495,"&lt;="&amp;$A102)-SUMIFS($J$2:$J$495,$A$2:$A$495,"&lt;="&amp;$A102)-SUMIFS('Weekly Purchases'!$N$2:$N$503,'Weekly Purchases'!$B$2:$B$503,"&lt;&gt;",'Weekly Purchases'!$B$2:$B$503,"&lt;="&amp;$A102)-SUMIFS('Weekly Purchases'!$N$2:$N$503,'Weekly Purchases'!$B$2:$B$503,"",'Weekly Purchases'!$A$2:$A$503,"&lt;="&amp;$A102))</f>
        <v/>
      </c>
      <c r="M102" s="8" t="str">
        <f>IF($A102="","",Settings!$B$4+SUMIFS($C$2:$C$495,$A$2:$A$495,"&lt;="&amp;$A102)-SUMIFS($K$2:$K$495,$A$2:$A$495,"&lt;="&amp;$A102)-SUMIFS('Weekly Purchases'!$O$2:$O$503,'Weekly Purchases'!$B$2:$B$503,"&lt;&gt;",'Weekly Purchases'!$B$2:$B$503,"&lt;="&amp;$A102)-SUMIFS('Weekly Purchases'!$O$2:$O$503,'Weekly Purchases'!$B$2:$B$503,"",'Weekly Purchases'!$A$2:$A$503,"&lt;="&amp;$A102))</f>
        <v/>
      </c>
      <c r="N102" s="8" t="str">
        <f t="shared" si="6"/>
        <v/>
      </c>
      <c r="O102" s="8" t="str">
        <f t="shared" si="7"/>
        <v/>
      </c>
      <c r="P102" s="4"/>
    </row>
    <row r="103" spans="1:16">
      <c r="A103" s="6"/>
      <c r="B103" s="7"/>
      <c r="C103" s="7"/>
      <c r="D103" s="8" t="str">
        <f t="shared" si="4"/>
        <v/>
      </c>
      <c r="E103" s="7"/>
      <c r="F103" s="7"/>
      <c r="G103" s="7"/>
      <c r="H103" s="7"/>
      <c r="I103" s="8" t="str">
        <f t="shared" si="5"/>
        <v/>
      </c>
      <c r="J103" s="8"/>
      <c r="K103" s="8"/>
      <c r="L103" s="8" t="str">
        <f>IF($A103="","",Settings!$B$3+SUMIFS($B$2:$B$495,$A$2:$A$495,"&lt;="&amp;$A103)-SUMIFS($J$2:$J$495,$A$2:$A$495,"&lt;="&amp;$A103)-SUMIFS('Weekly Purchases'!$N$2:$N$503,'Weekly Purchases'!$B$2:$B$503,"&lt;&gt;",'Weekly Purchases'!$B$2:$B$503,"&lt;="&amp;$A103)-SUMIFS('Weekly Purchases'!$N$2:$N$503,'Weekly Purchases'!$B$2:$B$503,"",'Weekly Purchases'!$A$2:$A$503,"&lt;="&amp;$A103))</f>
        <v/>
      </c>
      <c r="M103" s="8" t="str">
        <f>IF($A103="","",Settings!$B$4+SUMIFS($C$2:$C$495,$A$2:$A$495,"&lt;="&amp;$A103)-SUMIFS($K$2:$K$495,$A$2:$A$495,"&lt;="&amp;$A103)-SUMIFS('Weekly Purchases'!$O$2:$O$503,'Weekly Purchases'!$B$2:$B$503,"&lt;&gt;",'Weekly Purchases'!$B$2:$B$503,"&lt;="&amp;$A103)-SUMIFS('Weekly Purchases'!$O$2:$O$503,'Weekly Purchases'!$B$2:$B$503,"",'Weekly Purchases'!$A$2:$A$503,"&lt;="&amp;$A103))</f>
        <v/>
      </c>
      <c r="N103" s="8" t="str">
        <f t="shared" si="6"/>
        <v/>
      </c>
      <c r="O103" s="8" t="str">
        <f t="shared" si="7"/>
        <v/>
      </c>
      <c r="P103" s="4"/>
    </row>
    <row r="104" spans="1:16">
      <c r="A104" s="6"/>
      <c r="B104" s="7"/>
      <c r="C104" s="7"/>
      <c r="D104" s="8" t="str">
        <f t="shared" si="4"/>
        <v/>
      </c>
      <c r="E104" s="7"/>
      <c r="F104" s="7"/>
      <c r="G104" s="7"/>
      <c r="H104" s="7"/>
      <c r="I104" s="8" t="str">
        <f t="shared" si="5"/>
        <v/>
      </c>
      <c r="J104" s="8"/>
      <c r="K104" s="8"/>
      <c r="L104" s="8" t="str">
        <f>IF($A104="","",Settings!$B$3+SUMIFS($B$2:$B$495,$A$2:$A$495,"&lt;="&amp;$A104)-SUMIFS($J$2:$J$495,$A$2:$A$495,"&lt;="&amp;$A104)-SUMIFS('Weekly Purchases'!$N$2:$N$503,'Weekly Purchases'!$B$2:$B$503,"&lt;&gt;",'Weekly Purchases'!$B$2:$B$503,"&lt;="&amp;$A104)-SUMIFS('Weekly Purchases'!$N$2:$N$503,'Weekly Purchases'!$B$2:$B$503,"",'Weekly Purchases'!$A$2:$A$503,"&lt;="&amp;$A104))</f>
        <v/>
      </c>
      <c r="M104" s="8" t="str">
        <f>IF($A104="","",Settings!$B$4+SUMIFS($C$2:$C$495,$A$2:$A$495,"&lt;="&amp;$A104)-SUMIFS($K$2:$K$495,$A$2:$A$495,"&lt;="&amp;$A104)-SUMIFS('Weekly Purchases'!$O$2:$O$503,'Weekly Purchases'!$B$2:$B$503,"&lt;&gt;",'Weekly Purchases'!$B$2:$B$503,"&lt;="&amp;$A104)-SUMIFS('Weekly Purchases'!$O$2:$O$503,'Weekly Purchases'!$B$2:$B$503,"",'Weekly Purchases'!$A$2:$A$503,"&lt;="&amp;$A104))</f>
        <v/>
      </c>
      <c r="N104" s="8" t="str">
        <f t="shared" si="6"/>
        <v/>
      </c>
      <c r="O104" s="8" t="str">
        <f t="shared" si="7"/>
        <v/>
      </c>
      <c r="P104" s="4"/>
    </row>
    <row r="105" spans="1:16">
      <c r="A105" s="6"/>
      <c r="B105" s="7"/>
      <c r="C105" s="7"/>
      <c r="D105" s="8" t="str">
        <f t="shared" si="4"/>
        <v/>
      </c>
      <c r="E105" s="7"/>
      <c r="F105" s="7"/>
      <c r="G105" s="7"/>
      <c r="H105" s="7"/>
      <c r="I105" s="8" t="str">
        <f t="shared" si="5"/>
        <v/>
      </c>
      <c r="J105" s="8"/>
      <c r="K105" s="8"/>
      <c r="L105" s="8" t="str">
        <f>IF($A105="","",Settings!$B$3+SUMIFS($B$2:$B$495,$A$2:$A$495,"&lt;="&amp;$A105)-SUMIFS($J$2:$J$495,$A$2:$A$495,"&lt;="&amp;$A105)-SUMIFS('Weekly Purchases'!$N$2:$N$503,'Weekly Purchases'!$B$2:$B$503,"&lt;&gt;",'Weekly Purchases'!$B$2:$B$503,"&lt;="&amp;$A105)-SUMIFS('Weekly Purchases'!$N$2:$N$503,'Weekly Purchases'!$B$2:$B$503,"",'Weekly Purchases'!$A$2:$A$503,"&lt;="&amp;$A105))</f>
        <v/>
      </c>
      <c r="M105" s="8" t="str">
        <f>IF($A105="","",Settings!$B$4+SUMIFS($C$2:$C$495,$A$2:$A$495,"&lt;="&amp;$A105)-SUMIFS($K$2:$K$495,$A$2:$A$495,"&lt;="&amp;$A105)-SUMIFS('Weekly Purchases'!$O$2:$O$503,'Weekly Purchases'!$B$2:$B$503,"&lt;&gt;",'Weekly Purchases'!$B$2:$B$503,"&lt;="&amp;$A105)-SUMIFS('Weekly Purchases'!$O$2:$O$503,'Weekly Purchases'!$B$2:$B$503,"",'Weekly Purchases'!$A$2:$A$503,"&lt;="&amp;$A105))</f>
        <v/>
      </c>
      <c r="N105" s="8" t="str">
        <f t="shared" si="6"/>
        <v/>
      </c>
      <c r="O105" s="8" t="str">
        <f t="shared" si="7"/>
        <v/>
      </c>
      <c r="P105" s="4"/>
    </row>
    <row r="106" spans="1:16">
      <c r="A106" s="6"/>
      <c r="B106" s="7"/>
      <c r="C106" s="7"/>
      <c r="D106" s="8" t="str">
        <f t="shared" si="4"/>
        <v/>
      </c>
      <c r="E106" s="7"/>
      <c r="F106" s="7"/>
      <c r="G106" s="7"/>
      <c r="H106" s="7"/>
      <c r="I106" s="8" t="str">
        <f t="shared" si="5"/>
        <v/>
      </c>
      <c r="J106" s="8"/>
      <c r="K106" s="8"/>
      <c r="L106" s="8" t="str">
        <f>IF($A106="","",Settings!$B$3+SUMIFS($B$2:$B$495,$A$2:$A$495,"&lt;="&amp;$A106)-SUMIFS($J$2:$J$495,$A$2:$A$495,"&lt;="&amp;$A106)-SUMIFS('Weekly Purchases'!$N$2:$N$503,'Weekly Purchases'!$B$2:$B$503,"&lt;&gt;",'Weekly Purchases'!$B$2:$B$503,"&lt;="&amp;$A106)-SUMIFS('Weekly Purchases'!$N$2:$N$503,'Weekly Purchases'!$B$2:$B$503,"",'Weekly Purchases'!$A$2:$A$503,"&lt;="&amp;$A106))</f>
        <v/>
      </c>
      <c r="M106" s="8" t="str">
        <f>IF($A106="","",Settings!$B$4+SUMIFS($C$2:$C$495,$A$2:$A$495,"&lt;="&amp;$A106)-SUMIFS($K$2:$K$495,$A$2:$A$495,"&lt;="&amp;$A106)-SUMIFS('Weekly Purchases'!$O$2:$O$503,'Weekly Purchases'!$B$2:$B$503,"&lt;&gt;",'Weekly Purchases'!$B$2:$B$503,"&lt;="&amp;$A106)-SUMIFS('Weekly Purchases'!$O$2:$O$503,'Weekly Purchases'!$B$2:$B$503,"",'Weekly Purchases'!$A$2:$A$503,"&lt;="&amp;$A106))</f>
        <v/>
      </c>
      <c r="N106" s="8" t="str">
        <f t="shared" si="6"/>
        <v/>
      </c>
      <c r="O106" s="8" t="str">
        <f t="shared" si="7"/>
        <v/>
      </c>
      <c r="P106" s="4"/>
    </row>
    <row r="107" spans="1:16">
      <c r="A107" s="6"/>
      <c r="B107" s="7"/>
      <c r="C107" s="7"/>
      <c r="D107" s="8" t="str">
        <f t="shared" si="4"/>
        <v/>
      </c>
      <c r="E107" s="7"/>
      <c r="F107" s="7"/>
      <c r="G107" s="7"/>
      <c r="H107" s="7"/>
      <c r="I107" s="8" t="str">
        <f t="shared" si="5"/>
        <v/>
      </c>
      <c r="J107" s="8"/>
      <c r="K107" s="8"/>
      <c r="L107" s="8" t="str">
        <f>IF($A107="","",Settings!$B$3+SUMIFS($B$2:$B$495,$A$2:$A$495,"&lt;="&amp;$A107)-SUMIFS($J$2:$J$495,$A$2:$A$495,"&lt;="&amp;$A107)-SUMIFS('Weekly Purchases'!$N$2:$N$503,'Weekly Purchases'!$B$2:$B$503,"&lt;&gt;",'Weekly Purchases'!$B$2:$B$503,"&lt;="&amp;$A107)-SUMIFS('Weekly Purchases'!$N$2:$N$503,'Weekly Purchases'!$B$2:$B$503,"",'Weekly Purchases'!$A$2:$A$503,"&lt;="&amp;$A107))</f>
        <v/>
      </c>
      <c r="M107" s="8" t="str">
        <f>IF($A107="","",Settings!$B$4+SUMIFS($C$2:$C$495,$A$2:$A$495,"&lt;="&amp;$A107)-SUMIFS($K$2:$K$495,$A$2:$A$495,"&lt;="&amp;$A107)-SUMIFS('Weekly Purchases'!$O$2:$O$503,'Weekly Purchases'!$B$2:$B$503,"&lt;&gt;",'Weekly Purchases'!$B$2:$B$503,"&lt;="&amp;$A107)-SUMIFS('Weekly Purchases'!$O$2:$O$503,'Weekly Purchases'!$B$2:$B$503,"",'Weekly Purchases'!$A$2:$A$503,"&lt;="&amp;$A107))</f>
        <v/>
      </c>
      <c r="N107" s="8" t="str">
        <f t="shared" si="6"/>
        <v/>
      </c>
      <c r="O107" s="8" t="str">
        <f t="shared" si="7"/>
        <v/>
      </c>
      <c r="P107" s="4"/>
    </row>
    <row r="108" spans="1:16">
      <c r="A108" s="6"/>
      <c r="B108" s="7"/>
      <c r="C108" s="7"/>
      <c r="D108" s="8" t="str">
        <f t="shared" si="4"/>
        <v/>
      </c>
      <c r="E108" s="7"/>
      <c r="F108" s="7"/>
      <c r="G108" s="7"/>
      <c r="H108" s="7"/>
      <c r="I108" s="8" t="str">
        <f t="shared" si="5"/>
        <v/>
      </c>
      <c r="J108" s="8"/>
      <c r="K108" s="8"/>
      <c r="L108" s="8" t="str">
        <f>IF($A108="","",Settings!$B$3+SUMIFS($B$2:$B$495,$A$2:$A$495,"&lt;="&amp;$A108)-SUMIFS($J$2:$J$495,$A$2:$A$495,"&lt;="&amp;$A108)-SUMIFS('Weekly Purchases'!$N$2:$N$503,'Weekly Purchases'!$B$2:$B$503,"&lt;&gt;",'Weekly Purchases'!$B$2:$B$503,"&lt;="&amp;$A108)-SUMIFS('Weekly Purchases'!$N$2:$N$503,'Weekly Purchases'!$B$2:$B$503,"",'Weekly Purchases'!$A$2:$A$503,"&lt;="&amp;$A108))</f>
        <v/>
      </c>
      <c r="M108" s="8" t="str">
        <f>IF($A108="","",Settings!$B$4+SUMIFS($C$2:$C$495,$A$2:$A$495,"&lt;="&amp;$A108)-SUMIFS($K$2:$K$495,$A$2:$A$495,"&lt;="&amp;$A108)-SUMIFS('Weekly Purchases'!$O$2:$O$503,'Weekly Purchases'!$B$2:$B$503,"&lt;&gt;",'Weekly Purchases'!$B$2:$B$503,"&lt;="&amp;$A108)-SUMIFS('Weekly Purchases'!$O$2:$O$503,'Weekly Purchases'!$B$2:$B$503,"",'Weekly Purchases'!$A$2:$A$503,"&lt;="&amp;$A108))</f>
        <v/>
      </c>
      <c r="N108" s="8" t="str">
        <f t="shared" si="6"/>
        <v/>
      </c>
      <c r="O108" s="8" t="str">
        <f t="shared" si="7"/>
        <v/>
      </c>
      <c r="P108" s="4"/>
    </row>
    <row r="109" spans="1:16">
      <c r="A109" s="6"/>
      <c r="B109" s="7"/>
      <c r="C109" s="7"/>
      <c r="D109" s="8" t="str">
        <f t="shared" si="4"/>
        <v/>
      </c>
      <c r="E109" s="7"/>
      <c r="F109" s="7"/>
      <c r="G109" s="7"/>
      <c r="H109" s="7"/>
      <c r="I109" s="8" t="str">
        <f t="shared" si="5"/>
        <v/>
      </c>
      <c r="J109" s="8"/>
      <c r="K109" s="8"/>
      <c r="L109" s="8" t="str">
        <f>IF($A109="","",Settings!$B$3+SUMIFS($B$2:$B$495,$A$2:$A$495,"&lt;="&amp;$A109)-SUMIFS($J$2:$J$495,$A$2:$A$495,"&lt;="&amp;$A109)-SUMIFS('Weekly Purchases'!$N$2:$N$503,'Weekly Purchases'!$B$2:$B$503,"&lt;&gt;",'Weekly Purchases'!$B$2:$B$503,"&lt;="&amp;$A109)-SUMIFS('Weekly Purchases'!$N$2:$N$503,'Weekly Purchases'!$B$2:$B$503,"",'Weekly Purchases'!$A$2:$A$503,"&lt;="&amp;$A109))</f>
        <v/>
      </c>
      <c r="M109" s="8" t="str">
        <f>IF($A109="","",Settings!$B$4+SUMIFS($C$2:$C$495,$A$2:$A$495,"&lt;="&amp;$A109)-SUMIFS($K$2:$K$495,$A$2:$A$495,"&lt;="&amp;$A109)-SUMIFS('Weekly Purchases'!$O$2:$O$503,'Weekly Purchases'!$B$2:$B$503,"&lt;&gt;",'Weekly Purchases'!$B$2:$B$503,"&lt;="&amp;$A109)-SUMIFS('Weekly Purchases'!$O$2:$O$503,'Weekly Purchases'!$B$2:$B$503,"",'Weekly Purchases'!$A$2:$A$503,"&lt;="&amp;$A109))</f>
        <v/>
      </c>
      <c r="N109" s="8" t="str">
        <f t="shared" si="6"/>
        <v/>
      </c>
      <c r="O109" s="8" t="str">
        <f t="shared" si="7"/>
        <v/>
      </c>
      <c r="P109" s="4"/>
    </row>
    <row r="110" spans="1:16">
      <c r="A110" s="6"/>
      <c r="B110" s="7"/>
      <c r="C110" s="7"/>
      <c r="D110" s="8" t="str">
        <f t="shared" si="4"/>
        <v/>
      </c>
      <c r="E110" s="7"/>
      <c r="F110" s="7"/>
      <c r="G110" s="7"/>
      <c r="H110" s="7"/>
      <c r="I110" s="8" t="str">
        <f t="shared" si="5"/>
        <v/>
      </c>
      <c r="J110" s="8"/>
      <c r="K110" s="8"/>
      <c r="L110" s="8" t="str">
        <f>IF($A110="","",Settings!$B$3+SUMIFS($B$2:$B$495,$A$2:$A$495,"&lt;="&amp;$A110)-SUMIFS($J$2:$J$495,$A$2:$A$495,"&lt;="&amp;$A110)-SUMIFS('Weekly Purchases'!$N$2:$N$503,'Weekly Purchases'!$B$2:$B$503,"&lt;&gt;",'Weekly Purchases'!$B$2:$B$503,"&lt;="&amp;$A110)-SUMIFS('Weekly Purchases'!$N$2:$N$503,'Weekly Purchases'!$B$2:$B$503,"",'Weekly Purchases'!$A$2:$A$503,"&lt;="&amp;$A110))</f>
        <v/>
      </c>
      <c r="M110" s="8" t="str">
        <f>IF($A110="","",Settings!$B$4+SUMIFS($C$2:$C$495,$A$2:$A$495,"&lt;="&amp;$A110)-SUMIFS($K$2:$K$495,$A$2:$A$495,"&lt;="&amp;$A110)-SUMIFS('Weekly Purchases'!$O$2:$O$503,'Weekly Purchases'!$B$2:$B$503,"&lt;&gt;",'Weekly Purchases'!$B$2:$B$503,"&lt;="&amp;$A110)-SUMIFS('Weekly Purchases'!$O$2:$O$503,'Weekly Purchases'!$B$2:$B$503,"",'Weekly Purchases'!$A$2:$A$503,"&lt;="&amp;$A110))</f>
        <v/>
      </c>
      <c r="N110" s="8" t="str">
        <f t="shared" si="6"/>
        <v/>
      </c>
      <c r="O110" s="8" t="str">
        <f t="shared" si="7"/>
        <v/>
      </c>
      <c r="P110" s="4"/>
    </row>
    <row r="111" spans="1:16">
      <c r="A111" s="6"/>
      <c r="B111" s="7"/>
      <c r="C111" s="7"/>
      <c r="D111" s="8" t="str">
        <f t="shared" si="4"/>
        <v/>
      </c>
      <c r="E111" s="7"/>
      <c r="F111" s="7"/>
      <c r="G111" s="7"/>
      <c r="H111" s="7"/>
      <c r="I111" s="8" t="str">
        <f t="shared" si="5"/>
        <v/>
      </c>
      <c r="J111" s="8"/>
      <c r="K111" s="8"/>
      <c r="L111" s="8" t="str">
        <f>IF($A111="","",Settings!$B$3+SUMIFS($B$2:$B$495,$A$2:$A$495,"&lt;="&amp;$A111)-SUMIFS($J$2:$J$495,$A$2:$A$495,"&lt;="&amp;$A111)-SUMIFS('Weekly Purchases'!$N$2:$N$503,'Weekly Purchases'!$B$2:$B$503,"&lt;&gt;",'Weekly Purchases'!$B$2:$B$503,"&lt;="&amp;$A111)-SUMIFS('Weekly Purchases'!$N$2:$N$503,'Weekly Purchases'!$B$2:$B$503,"",'Weekly Purchases'!$A$2:$A$503,"&lt;="&amp;$A111))</f>
        <v/>
      </c>
      <c r="M111" s="8" t="str">
        <f>IF($A111="","",Settings!$B$4+SUMIFS($C$2:$C$495,$A$2:$A$495,"&lt;="&amp;$A111)-SUMIFS($K$2:$K$495,$A$2:$A$495,"&lt;="&amp;$A111)-SUMIFS('Weekly Purchases'!$O$2:$O$503,'Weekly Purchases'!$B$2:$B$503,"&lt;&gt;",'Weekly Purchases'!$B$2:$B$503,"&lt;="&amp;$A111)-SUMIFS('Weekly Purchases'!$O$2:$O$503,'Weekly Purchases'!$B$2:$B$503,"",'Weekly Purchases'!$A$2:$A$503,"&lt;="&amp;$A111))</f>
        <v/>
      </c>
      <c r="N111" s="8" t="str">
        <f t="shared" si="6"/>
        <v/>
      </c>
      <c r="O111" s="8" t="str">
        <f t="shared" si="7"/>
        <v/>
      </c>
      <c r="P111" s="4"/>
    </row>
    <row r="112" spans="1:16">
      <c r="A112" s="6"/>
      <c r="B112" s="7"/>
      <c r="C112" s="7"/>
      <c r="D112" s="8" t="str">
        <f t="shared" si="4"/>
        <v/>
      </c>
      <c r="E112" s="7"/>
      <c r="F112" s="7"/>
      <c r="G112" s="7"/>
      <c r="H112" s="7"/>
      <c r="I112" s="8" t="str">
        <f t="shared" si="5"/>
        <v/>
      </c>
      <c r="J112" s="8"/>
      <c r="K112" s="8"/>
      <c r="L112" s="8" t="str">
        <f>IF($A112="","",Settings!$B$3+SUMIFS($B$2:$B$495,$A$2:$A$495,"&lt;="&amp;$A112)-SUMIFS($J$2:$J$495,$A$2:$A$495,"&lt;="&amp;$A112)-SUMIFS('Weekly Purchases'!$N$2:$N$503,'Weekly Purchases'!$B$2:$B$503,"&lt;&gt;",'Weekly Purchases'!$B$2:$B$503,"&lt;="&amp;$A112)-SUMIFS('Weekly Purchases'!$N$2:$N$503,'Weekly Purchases'!$B$2:$B$503,"",'Weekly Purchases'!$A$2:$A$503,"&lt;="&amp;$A112))</f>
        <v/>
      </c>
      <c r="M112" s="8" t="str">
        <f>IF($A112="","",Settings!$B$4+SUMIFS($C$2:$C$495,$A$2:$A$495,"&lt;="&amp;$A112)-SUMIFS($K$2:$K$495,$A$2:$A$495,"&lt;="&amp;$A112)-SUMIFS('Weekly Purchases'!$O$2:$O$503,'Weekly Purchases'!$B$2:$B$503,"&lt;&gt;",'Weekly Purchases'!$B$2:$B$503,"&lt;="&amp;$A112)-SUMIFS('Weekly Purchases'!$O$2:$O$503,'Weekly Purchases'!$B$2:$B$503,"",'Weekly Purchases'!$A$2:$A$503,"&lt;="&amp;$A112))</f>
        <v/>
      </c>
      <c r="N112" s="8" t="str">
        <f t="shared" si="6"/>
        <v/>
      </c>
      <c r="O112" s="8" t="str">
        <f t="shared" si="7"/>
        <v/>
      </c>
      <c r="P112" s="4"/>
    </row>
    <row r="113" spans="1:16">
      <c r="A113" s="6"/>
      <c r="B113" s="7"/>
      <c r="C113" s="7"/>
      <c r="D113" s="8" t="str">
        <f t="shared" si="4"/>
        <v/>
      </c>
      <c r="E113" s="7"/>
      <c r="F113" s="7"/>
      <c r="G113" s="7"/>
      <c r="H113" s="7"/>
      <c r="I113" s="8" t="str">
        <f t="shared" si="5"/>
        <v/>
      </c>
      <c r="J113" s="8"/>
      <c r="K113" s="8"/>
      <c r="L113" s="8" t="str">
        <f>IF($A113="","",Settings!$B$3+SUMIFS($B$2:$B$495,$A$2:$A$495,"&lt;="&amp;$A113)-SUMIFS($J$2:$J$495,$A$2:$A$495,"&lt;="&amp;$A113)-SUMIFS('Weekly Purchases'!$N$2:$N$503,'Weekly Purchases'!$B$2:$B$503,"&lt;&gt;",'Weekly Purchases'!$B$2:$B$503,"&lt;="&amp;$A113)-SUMIFS('Weekly Purchases'!$N$2:$N$503,'Weekly Purchases'!$B$2:$B$503,"",'Weekly Purchases'!$A$2:$A$503,"&lt;="&amp;$A113))</f>
        <v/>
      </c>
      <c r="M113" s="8" t="str">
        <f>IF($A113="","",Settings!$B$4+SUMIFS($C$2:$C$495,$A$2:$A$495,"&lt;="&amp;$A113)-SUMIFS($K$2:$K$495,$A$2:$A$495,"&lt;="&amp;$A113)-SUMIFS('Weekly Purchases'!$O$2:$O$503,'Weekly Purchases'!$B$2:$B$503,"&lt;&gt;",'Weekly Purchases'!$B$2:$B$503,"&lt;="&amp;$A113)-SUMIFS('Weekly Purchases'!$O$2:$O$503,'Weekly Purchases'!$B$2:$B$503,"",'Weekly Purchases'!$A$2:$A$503,"&lt;="&amp;$A113))</f>
        <v/>
      </c>
      <c r="N113" s="8" t="str">
        <f t="shared" si="6"/>
        <v/>
      </c>
      <c r="O113" s="8" t="str">
        <f t="shared" si="7"/>
        <v/>
      </c>
      <c r="P113" s="4"/>
    </row>
    <row r="114" spans="1:16">
      <c r="A114" s="6"/>
      <c r="B114" s="7"/>
      <c r="C114" s="7"/>
      <c r="D114" s="8" t="str">
        <f t="shared" si="4"/>
        <v/>
      </c>
      <c r="E114" s="7"/>
      <c r="F114" s="7"/>
      <c r="G114" s="7"/>
      <c r="H114" s="7"/>
      <c r="I114" s="8" t="str">
        <f t="shared" si="5"/>
        <v/>
      </c>
      <c r="J114" s="8"/>
      <c r="K114" s="8"/>
      <c r="L114" s="8" t="str">
        <f>IF($A114="","",Settings!$B$3+SUMIFS($B$2:$B$495,$A$2:$A$495,"&lt;="&amp;$A114)-SUMIFS($J$2:$J$495,$A$2:$A$495,"&lt;="&amp;$A114)-SUMIFS('Weekly Purchases'!$N$2:$N$503,'Weekly Purchases'!$B$2:$B$503,"&lt;&gt;",'Weekly Purchases'!$B$2:$B$503,"&lt;="&amp;$A114)-SUMIFS('Weekly Purchases'!$N$2:$N$503,'Weekly Purchases'!$B$2:$B$503,"",'Weekly Purchases'!$A$2:$A$503,"&lt;="&amp;$A114))</f>
        <v/>
      </c>
      <c r="M114" s="8" t="str">
        <f>IF($A114="","",Settings!$B$4+SUMIFS($C$2:$C$495,$A$2:$A$495,"&lt;="&amp;$A114)-SUMIFS($K$2:$K$495,$A$2:$A$495,"&lt;="&amp;$A114)-SUMIFS('Weekly Purchases'!$O$2:$O$503,'Weekly Purchases'!$B$2:$B$503,"&lt;&gt;",'Weekly Purchases'!$B$2:$B$503,"&lt;="&amp;$A114)-SUMIFS('Weekly Purchases'!$O$2:$O$503,'Weekly Purchases'!$B$2:$B$503,"",'Weekly Purchases'!$A$2:$A$503,"&lt;="&amp;$A114))</f>
        <v/>
      </c>
      <c r="N114" s="8" t="str">
        <f t="shared" si="6"/>
        <v/>
      </c>
      <c r="O114" s="8" t="str">
        <f t="shared" si="7"/>
        <v/>
      </c>
      <c r="P114" s="4"/>
    </row>
    <row r="115" spans="1:16">
      <c r="A115" s="6"/>
      <c r="B115" s="7"/>
      <c r="C115" s="7"/>
      <c r="D115" s="8" t="str">
        <f t="shared" si="4"/>
        <v/>
      </c>
      <c r="E115" s="7"/>
      <c r="F115" s="7"/>
      <c r="G115" s="7"/>
      <c r="H115" s="7"/>
      <c r="I115" s="8" t="str">
        <f t="shared" si="5"/>
        <v/>
      </c>
      <c r="J115" s="8"/>
      <c r="K115" s="8"/>
      <c r="L115" s="8" t="str">
        <f>IF($A115="","",Settings!$B$3+SUMIFS($B$2:$B$495,$A$2:$A$495,"&lt;="&amp;$A115)-SUMIFS($J$2:$J$495,$A$2:$A$495,"&lt;="&amp;$A115)-SUMIFS('Weekly Purchases'!$N$2:$N$503,'Weekly Purchases'!$B$2:$B$503,"&lt;&gt;",'Weekly Purchases'!$B$2:$B$503,"&lt;="&amp;$A115)-SUMIFS('Weekly Purchases'!$N$2:$N$503,'Weekly Purchases'!$B$2:$B$503,"",'Weekly Purchases'!$A$2:$A$503,"&lt;="&amp;$A115))</f>
        <v/>
      </c>
      <c r="M115" s="8" t="str">
        <f>IF($A115="","",Settings!$B$4+SUMIFS($C$2:$C$495,$A$2:$A$495,"&lt;="&amp;$A115)-SUMIFS($K$2:$K$495,$A$2:$A$495,"&lt;="&amp;$A115)-SUMIFS('Weekly Purchases'!$O$2:$O$503,'Weekly Purchases'!$B$2:$B$503,"&lt;&gt;",'Weekly Purchases'!$B$2:$B$503,"&lt;="&amp;$A115)-SUMIFS('Weekly Purchases'!$O$2:$O$503,'Weekly Purchases'!$B$2:$B$503,"",'Weekly Purchases'!$A$2:$A$503,"&lt;="&amp;$A115))</f>
        <v/>
      </c>
      <c r="N115" s="8" t="str">
        <f t="shared" si="6"/>
        <v/>
      </c>
      <c r="O115" s="8" t="str">
        <f t="shared" si="7"/>
        <v/>
      </c>
      <c r="P115" s="4"/>
    </row>
    <row r="116" spans="1:16">
      <c r="A116" s="6"/>
      <c r="B116" s="7"/>
      <c r="C116" s="7"/>
      <c r="D116" s="8" t="str">
        <f t="shared" si="4"/>
        <v/>
      </c>
      <c r="E116" s="7"/>
      <c r="F116" s="7"/>
      <c r="G116" s="7"/>
      <c r="H116" s="7"/>
      <c r="I116" s="8" t="str">
        <f t="shared" si="5"/>
        <v/>
      </c>
      <c r="J116" s="8"/>
      <c r="K116" s="8"/>
      <c r="L116" s="8" t="str">
        <f>IF($A116="","",Settings!$B$3+SUMIFS($B$2:$B$495,$A$2:$A$495,"&lt;="&amp;$A116)-SUMIFS($J$2:$J$495,$A$2:$A$495,"&lt;="&amp;$A116)-SUMIFS('Weekly Purchases'!$N$2:$N$503,'Weekly Purchases'!$B$2:$B$503,"&lt;&gt;",'Weekly Purchases'!$B$2:$B$503,"&lt;="&amp;$A116)-SUMIFS('Weekly Purchases'!$N$2:$N$503,'Weekly Purchases'!$B$2:$B$503,"",'Weekly Purchases'!$A$2:$A$503,"&lt;="&amp;$A116))</f>
        <v/>
      </c>
      <c r="M116" s="8" t="str">
        <f>IF($A116="","",Settings!$B$4+SUMIFS($C$2:$C$495,$A$2:$A$495,"&lt;="&amp;$A116)-SUMIFS($K$2:$K$495,$A$2:$A$495,"&lt;="&amp;$A116)-SUMIFS('Weekly Purchases'!$O$2:$O$503,'Weekly Purchases'!$B$2:$B$503,"&lt;&gt;",'Weekly Purchases'!$B$2:$B$503,"&lt;="&amp;$A116)-SUMIFS('Weekly Purchases'!$O$2:$O$503,'Weekly Purchases'!$B$2:$B$503,"",'Weekly Purchases'!$A$2:$A$503,"&lt;="&amp;$A116))</f>
        <v/>
      </c>
      <c r="N116" s="8" t="str">
        <f t="shared" si="6"/>
        <v/>
      </c>
      <c r="O116" s="8" t="str">
        <f t="shared" si="7"/>
        <v/>
      </c>
      <c r="P116" s="4"/>
    </row>
    <row r="117" spans="1:16">
      <c r="A117" s="6"/>
      <c r="B117" s="7"/>
      <c r="C117" s="7"/>
      <c r="D117" s="8" t="str">
        <f t="shared" si="4"/>
        <v/>
      </c>
      <c r="E117" s="7"/>
      <c r="F117" s="7"/>
      <c r="G117" s="7"/>
      <c r="H117" s="7"/>
      <c r="I117" s="8" t="str">
        <f t="shared" si="5"/>
        <v/>
      </c>
      <c r="J117" s="8"/>
      <c r="K117" s="8"/>
      <c r="L117" s="8" t="str">
        <f>IF($A117="","",Settings!$B$3+SUMIFS($B$2:$B$495,$A$2:$A$495,"&lt;="&amp;$A117)-SUMIFS($J$2:$J$495,$A$2:$A$495,"&lt;="&amp;$A117)-SUMIFS('Weekly Purchases'!$N$2:$N$503,'Weekly Purchases'!$B$2:$B$503,"&lt;&gt;",'Weekly Purchases'!$B$2:$B$503,"&lt;="&amp;$A117)-SUMIFS('Weekly Purchases'!$N$2:$N$503,'Weekly Purchases'!$B$2:$B$503,"",'Weekly Purchases'!$A$2:$A$503,"&lt;="&amp;$A117))</f>
        <v/>
      </c>
      <c r="M117" s="8" t="str">
        <f>IF($A117="","",Settings!$B$4+SUMIFS($C$2:$C$495,$A$2:$A$495,"&lt;="&amp;$A117)-SUMIFS($K$2:$K$495,$A$2:$A$495,"&lt;="&amp;$A117)-SUMIFS('Weekly Purchases'!$O$2:$O$503,'Weekly Purchases'!$B$2:$B$503,"&lt;&gt;",'Weekly Purchases'!$B$2:$B$503,"&lt;="&amp;$A117)-SUMIFS('Weekly Purchases'!$O$2:$O$503,'Weekly Purchases'!$B$2:$B$503,"",'Weekly Purchases'!$A$2:$A$503,"&lt;="&amp;$A117))</f>
        <v/>
      </c>
      <c r="N117" s="8" t="str">
        <f t="shared" si="6"/>
        <v/>
      </c>
      <c r="O117" s="8" t="str">
        <f t="shared" si="7"/>
        <v/>
      </c>
      <c r="P117" s="4"/>
    </row>
    <row r="118" spans="1:16">
      <c r="A118" s="6"/>
      <c r="B118" s="7"/>
      <c r="C118" s="7"/>
      <c r="D118" s="8" t="str">
        <f t="shared" si="4"/>
        <v/>
      </c>
      <c r="E118" s="7"/>
      <c r="F118" s="7"/>
      <c r="G118" s="7"/>
      <c r="H118" s="7"/>
      <c r="I118" s="8" t="str">
        <f t="shared" si="5"/>
        <v/>
      </c>
      <c r="J118" s="8"/>
      <c r="K118" s="8"/>
      <c r="L118" s="8" t="str">
        <f>IF($A118="","",Settings!$B$3+SUMIFS($B$2:$B$495,$A$2:$A$495,"&lt;="&amp;$A118)-SUMIFS($J$2:$J$495,$A$2:$A$495,"&lt;="&amp;$A118)-SUMIFS('Weekly Purchases'!$N$2:$N$503,'Weekly Purchases'!$B$2:$B$503,"&lt;&gt;",'Weekly Purchases'!$B$2:$B$503,"&lt;="&amp;$A118)-SUMIFS('Weekly Purchases'!$N$2:$N$503,'Weekly Purchases'!$B$2:$B$503,"",'Weekly Purchases'!$A$2:$A$503,"&lt;="&amp;$A118))</f>
        <v/>
      </c>
      <c r="M118" s="8" t="str">
        <f>IF($A118="","",Settings!$B$4+SUMIFS($C$2:$C$495,$A$2:$A$495,"&lt;="&amp;$A118)-SUMIFS($K$2:$K$495,$A$2:$A$495,"&lt;="&amp;$A118)-SUMIFS('Weekly Purchases'!$O$2:$O$503,'Weekly Purchases'!$B$2:$B$503,"&lt;&gt;",'Weekly Purchases'!$B$2:$B$503,"&lt;="&amp;$A118)-SUMIFS('Weekly Purchases'!$O$2:$O$503,'Weekly Purchases'!$B$2:$B$503,"",'Weekly Purchases'!$A$2:$A$503,"&lt;="&amp;$A118))</f>
        <v/>
      </c>
      <c r="N118" s="8" t="str">
        <f t="shared" si="6"/>
        <v/>
      </c>
      <c r="O118" s="8" t="str">
        <f t="shared" si="7"/>
        <v/>
      </c>
      <c r="P118" s="4"/>
    </row>
    <row r="119" spans="1:16">
      <c r="A119" s="6"/>
      <c r="B119" s="7"/>
      <c r="C119" s="7"/>
      <c r="D119" s="8" t="str">
        <f t="shared" si="4"/>
        <v/>
      </c>
      <c r="E119" s="7"/>
      <c r="F119" s="7"/>
      <c r="G119" s="7"/>
      <c r="H119" s="7"/>
      <c r="I119" s="8" t="str">
        <f t="shared" si="5"/>
        <v/>
      </c>
      <c r="J119" s="8"/>
      <c r="K119" s="8"/>
      <c r="L119" s="8" t="str">
        <f>IF($A119="","",Settings!$B$3+SUMIFS($B$2:$B$495,$A$2:$A$495,"&lt;="&amp;$A119)-SUMIFS($J$2:$J$495,$A$2:$A$495,"&lt;="&amp;$A119)-SUMIFS('Weekly Purchases'!$N$2:$N$503,'Weekly Purchases'!$B$2:$B$503,"&lt;&gt;",'Weekly Purchases'!$B$2:$B$503,"&lt;="&amp;$A119)-SUMIFS('Weekly Purchases'!$N$2:$N$503,'Weekly Purchases'!$B$2:$B$503,"",'Weekly Purchases'!$A$2:$A$503,"&lt;="&amp;$A119))</f>
        <v/>
      </c>
      <c r="M119" s="8" t="str">
        <f>IF($A119="","",Settings!$B$4+SUMIFS($C$2:$C$495,$A$2:$A$495,"&lt;="&amp;$A119)-SUMIFS($K$2:$K$495,$A$2:$A$495,"&lt;="&amp;$A119)-SUMIFS('Weekly Purchases'!$O$2:$O$503,'Weekly Purchases'!$B$2:$B$503,"&lt;&gt;",'Weekly Purchases'!$B$2:$B$503,"&lt;="&amp;$A119)-SUMIFS('Weekly Purchases'!$O$2:$O$503,'Weekly Purchases'!$B$2:$B$503,"",'Weekly Purchases'!$A$2:$A$503,"&lt;="&amp;$A119))</f>
        <v/>
      </c>
      <c r="N119" s="8" t="str">
        <f t="shared" si="6"/>
        <v/>
      </c>
      <c r="O119" s="8" t="str">
        <f t="shared" si="7"/>
        <v/>
      </c>
      <c r="P119" s="4"/>
    </row>
    <row r="120" spans="1:16">
      <c r="A120" s="6"/>
      <c r="B120" s="7"/>
      <c r="C120" s="7"/>
      <c r="D120" s="8" t="str">
        <f t="shared" si="4"/>
        <v/>
      </c>
      <c r="E120" s="7"/>
      <c r="F120" s="7"/>
      <c r="G120" s="7"/>
      <c r="H120" s="7"/>
      <c r="I120" s="8" t="str">
        <f t="shared" si="5"/>
        <v/>
      </c>
      <c r="J120" s="8"/>
      <c r="K120" s="8"/>
      <c r="L120" s="8" t="str">
        <f>IF($A120="","",Settings!$B$3+SUMIFS($B$2:$B$495,$A$2:$A$495,"&lt;="&amp;$A120)-SUMIFS($J$2:$J$495,$A$2:$A$495,"&lt;="&amp;$A120)-SUMIFS('Weekly Purchases'!$N$2:$N$503,'Weekly Purchases'!$B$2:$B$503,"&lt;&gt;",'Weekly Purchases'!$B$2:$B$503,"&lt;="&amp;$A120)-SUMIFS('Weekly Purchases'!$N$2:$N$503,'Weekly Purchases'!$B$2:$B$503,"",'Weekly Purchases'!$A$2:$A$503,"&lt;="&amp;$A120))</f>
        <v/>
      </c>
      <c r="M120" s="8" t="str">
        <f>IF($A120="","",Settings!$B$4+SUMIFS($C$2:$C$495,$A$2:$A$495,"&lt;="&amp;$A120)-SUMIFS($K$2:$K$495,$A$2:$A$495,"&lt;="&amp;$A120)-SUMIFS('Weekly Purchases'!$O$2:$O$503,'Weekly Purchases'!$B$2:$B$503,"&lt;&gt;",'Weekly Purchases'!$B$2:$B$503,"&lt;="&amp;$A120)-SUMIFS('Weekly Purchases'!$O$2:$O$503,'Weekly Purchases'!$B$2:$B$503,"",'Weekly Purchases'!$A$2:$A$503,"&lt;="&amp;$A120))</f>
        <v/>
      </c>
      <c r="N120" s="8" t="str">
        <f t="shared" si="6"/>
        <v/>
      </c>
      <c r="O120" s="8" t="str">
        <f t="shared" si="7"/>
        <v/>
      </c>
      <c r="P120" s="4"/>
    </row>
    <row r="121" spans="1:16">
      <c r="A121" s="6"/>
      <c r="B121" s="7"/>
      <c r="C121" s="7"/>
      <c r="D121" s="8" t="str">
        <f t="shared" si="4"/>
        <v/>
      </c>
      <c r="E121" s="7"/>
      <c r="F121" s="7"/>
      <c r="G121" s="7"/>
      <c r="H121" s="7"/>
      <c r="I121" s="8" t="str">
        <f t="shared" si="5"/>
        <v/>
      </c>
      <c r="J121" s="8"/>
      <c r="K121" s="8"/>
      <c r="L121" s="8" t="str">
        <f>IF($A121="","",Settings!$B$3+SUMIFS($B$2:$B$495,$A$2:$A$495,"&lt;="&amp;$A121)-SUMIFS($J$2:$J$495,$A$2:$A$495,"&lt;="&amp;$A121)-SUMIFS('Weekly Purchases'!$N$2:$N$503,'Weekly Purchases'!$B$2:$B$503,"&lt;&gt;",'Weekly Purchases'!$B$2:$B$503,"&lt;="&amp;$A121)-SUMIFS('Weekly Purchases'!$N$2:$N$503,'Weekly Purchases'!$B$2:$B$503,"",'Weekly Purchases'!$A$2:$A$503,"&lt;="&amp;$A121))</f>
        <v/>
      </c>
      <c r="M121" s="8" t="str">
        <f>IF($A121="","",Settings!$B$4+SUMIFS($C$2:$C$495,$A$2:$A$495,"&lt;="&amp;$A121)-SUMIFS($K$2:$K$495,$A$2:$A$495,"&lt;="&amp;$A121)-SUMIFS('Weekly Purchases'!$O$2:$O$503,'Weekly Purchases'!$B$2:$B$503,"&lt;&gt;",'Weekly Purchases'!$B$2:$B$503,"&lt;="&amp;$A121)-SUMIFS('Weekly Purchases'!$O$2:$O$503,'Weekly Purchases'!$B$2:$B$503,"",'Weekly Purchases'!$A$2:$A$503,"&lt;="&amp;$A121))</f>
        <v/>
      </c>
      <c r="N121" s="8" t="str">
        <f t="shared" si="6"/>
        <v/>
      </c>
      <c r="O121" s="8" t="str">
        <f t="shared" si="7"/>
        <v/>
      </c>
      <c r="P121" s="4"/>
    </row>
    <row r="122" spans="1:16">
      <c r="A122" s="6"/>
      <c r="B122" s="7"/>
      <c r="C122" s="7"/>
      <c r="D122" s="8" t="str">
        <f t="shared" ref="D122:D185" si="8">IF($A122="","",SUM($B122:$C122))</f>
        <v/>
      </c>
      <c r="E122" s="7"/>
      <c r="F122" s="7"/>
      <c r="G122" s="7"/>
      <c r="H122" s="7"/>
      <c r="I122" s="8" t="str">
        <f t="shared" ref="I122:I185" si="9">IF($A122="","",SUM($E122:$H122))</f>
        <v/>
      </c>
      <c r="J122" s="8"/>
      <c r="K122" s="8"/>
      <c r="L122" s="8" t="str">
        <f>IF($A122="","",Settings!$B$3+SUMIFS($B$2:$B$495,$A$2:$A$495,"&lt;="&amp;$A122)-SUMIFS($J$2:$J$495,$A$2:$A$495,"&lt;="&amp;$A122)-SUMIFS('Weekly Purchases'!$N$2:$N$503,'Weekly Purchases'!$B$2:$B$503,"&lt;&gt;",'Weekly Purchases'!$B$2:$B$503,"&lt;="&amp;$A122)-SUMIFS('Weekly Purchases'!$N$2:$N$503,'Weekly Purchases'!$B$2:$B$503,"",'Weekly Purchases'!$A$2:$A$503,"&lt;="&amp;$A122))</f>
        <v/>
      </c>
      <c r="M122" s="8" t="str">
        <f>IF($A122="","",Settings!$B$4+SUMIFS($C$2:$C$495,$A$2:$A$495,"&lt;="&amp;$A122)-SUMIFS($K$2:$K$495,$A$2:$A$495,"&lt;="&amp;$A122)-SUMIFS('Weekly Purchases'!$O$2:$O$503,'Weekly Purchases'!$B$2:$B$503,"&lt;&gt;",'Weekly Purchases'!$B$2:$B$503,"&lt;="&amp;$A122)-SUMIFS('Weekly Purchases'!$O$2:$O$503,'Weekly Purchases'!$B$2:$B$503,"",'Weekly Purchases'!$A$2:$A$503,"&lt;="&amp;$A122))</f>
        <v/>
      </c>
      <c r="N122" s="8" t="str">
        <f t="shared" ref="N122:N185" si="10">IF($A122="","",L122+M122)</f>
        <v/>
      </c>
      <c r="O122" s="8" t="str">
        <f t="shared" ref="O122:O185" si="11">IF($A122="","",D122-I122)</f>
        <v/>
      </c>
      <c r="P122" s="4"/>
    </row>
    <row r="123" spans="1:16">
      <c r="A123" s="6"/>
      <c r="B123" s="7"/>
      <c r="C123" s="7"/>
      <c r="D123" s="8" t="str">
        <f t="shared" si="8"/>
        <v/>
      </c>
      <c r="E123" s="7"/>
      <c r="F123" s="7"/>
      <c r="G123" s="7"/>
      <c r="H123" s="7"/>
      <c r="I123" s="8" t="str">
        <f t="shared" si="9"/>
        <v/>
      </c>
      <c r="J123" s="8"/>
      <c r="K123" s="8"/>
      <c r="L123" s="8" t="str">
        <f>IF($A123="","",Settings!$B$3+SUMIFS($B$2:$B$495,$A$2:$A$495,"&lt;="&amp;$A123)-SUMIFS($J$2:$J$495,$A$2:$A$495,"&lt;="&amp;$A123)-SUMIFS('Weekly Purchases'!$N$2:$N$503,'Weekly Purchases'!$B$2:$B$503,"&lt;&gt;",'Weekly Purchases'!$B$2:$B$503,"&lt;="&amp;$A123)-SUMIFS('Weekly Purchases'!$N$2:$N$503,'Weekly Purchases'!$B$2:$B$503,"",'Weekly Purchases'!$A$2:$A$503,"&lt;="&amp;$A123))</f>
        <v/>
      </c>
      <c r="M123" s="8" t="str">
        <f>IF($A123="","",Settings!$B$4+SUMIFS($C$2:$C$495,$A$2:$A$495,"&lt;="&amp;$A123)-SUMIFS($K$2:$K$495,$A$2:$A$495,"&lt;="&amp;$A123)-SUMIFS('Weekly Purchases'!$O$2:$O$503,'Weekly Purchases'!$B$2:$B$503,"&lt;&gt;",'Weekly Purchases'!$B$2:$B$503,"&lt;="&amp;$A123)-SUMIFS('Weekly Purchases'!$O$2:$O$503,'Weekly Purchases'!$B$2:$B$503,"",'Weekly Purchases'!$A$2:$A$503,"&lt;="&amp;$A123))</f>
        <v/>
      </c>
      <c r="N123" s="8" t="str">
        <f t="shared" si="10"/>
        <v/>
      </c>
      <c r="O123" s="8" t="str">
        <f t="shared" si="11"/>
        <v/>
      </c>
      <c r="P123" s="4"/>
    </row>
    <row r="124" spans="1:16">
      <c r="A124" s="6"/>
      <c r="B124" s="7"/>
      <c r="C124" s="7"/>
      <c r="D124" s="8" t="str">
        <f t="shared" si="8"/>
        <v/>
      </c>
      <c r="E124" s="7"/>
      <c r="F124" s="7"/>
      <c r="G124" s="7"/>
      <c r="H124" s="7"/>
      <c r="I124" s="8" t="str">
        <f t="shared" si="9"/>
        <v/>
      </c>
      <c r="J124" s="8"/>
      <c r="K124" s="8"/>
      <c r="L124" s="8" t="str">
        <f>IF($A124="","",Settings!$B$3+SUMIFS($B$2:$B$495,$A$2:$A$495,"&lt;="&amp;$A124)-SUMIFS($J$2:$J$495,$A$2:$A$495,"&lt;="&amp;$A124)-SUMIFS('Weekly Purchases'!$N$2:$N$503,'Weekly Purchases'!$B$2:$B$503,"&lt;&gt;",'Weekly Purchases'!$B$2:$B$503,"&lt;="&amp;$A124)-SUMIFS('Weekly Purchases'!$N$2:$N$503,'Weekly Purchases'!$B$2:$B$503,"",'Weekly Purchases'!$A$2:$A$503,"&lt;="&amp;$A124))</f>
        <v/>
      </c>
      <c r="M124" s="8" t="str">
        <f>IF($A124="","",Settings!$B$4+SUMIFS($C$2:$C$495,$A$2:$A$495,"&lt;="&amp;$A124)-SUMIFS($K$2:$K$495,$A$2:$A$495,"&lt;="&amp;$A124)-SUMIFS('Weekly Purchases'!$O$2:$O$503,'Weekly Purchases'!$B$2:$B$503,"&lt;&gt;",'Weekly Purchases'!$B$2:$B$503,"&lt;="&amp;$A124)-SUMIFS('Weekly Purchases'!$O$2:$O$503,'Weekly Purchases'!$B$2:$B$503,"",'Weekly Purchases'!$A$2:$A$503,"&lt;="&amp;$A124))</f>
        <v/>
      </c>
      <c r="N124" s="8" t="str">
        <f t="shared" si="10"/>
        <v/>
      </c>
      <c r="O124" s="8" t="str">
        <f t="shared" si="11"/>
        <v/>
      </c>
      <c r="P124" s="4"/>
    </row>
    <row r="125" spans="1:16">
      <c r="A125" s="6"/>
      <c r="B125" s="7"/>
      <c r="C125" s="7"/>
      <c r="D125" s="8" t="str">
        <f t="shared" si="8"/>
        <v/>
      </c>
      <c r="E125" s="7"/>
      <c r="F125" s="7"/>
      <c r="G125" s="7"/>
      <c r="H125" s="7"/>
      <c r="I125" s="8" t="str">
        <f t="shared" si="9"/>
        <v/>
      </c>
      <c r="J125" s="8"/>
      <c r="K125" s="8"/>
      <c r="L125" s="8" t="str">
        <f>IF($A125="","",Settings!$B$3+SUMIFS($B$2:$B$495,$A$2:$A$495,"&lt;="&amp;$A125)-SUMIFS($J$2:$J$495,$A$2:$A$495,"&lt;="&amp;$A125)-SUMIFS('Weekly Purchases'!$N$2:$N$503,'Weekly Purchases'!$B$2:$B$503,"&lt;&gt;",'Weekly Purchases'!$B$2:$B$503,"&lt;="&amp;$A125)-SUMIFS('Weekly Purchases'!$N$2:$N$503,'Weekly Purchases'!$B$2:$B$503,"",'Weekly Purchases'!$A$2:$A$503,"&lt;="&amp;$A125))</f>
        <v/>
      </c>
      <c r="M125" s="8" t="str">
        <f>IF($A125="","",Settings!$B$4+SUMIFS($C$2:$C$495,$A$2:$A$495,"&lt;="&amp;$A125)-SUMIFS($K$2:$K$495,$A$2:$A$495,"&lt;="&amp;$A125)-SUMIFS('Weekly Purchases'!$O$2:$O$503,'Weekly Purchases'!$B$2:$B$503,"&lt;&gt;",'Weekly Purchases'!$B$2:$B$503,"&lt;="&amp;$A125)-SUMIFS('Weekly Purchases'!$O$2:$O$503,'Weekly Purchases'!$B$2:$B$503,"",'Weekly Purchases'!$A$2:$A$503,"&lt;="&amp;$A125))</f>
        <v/>
      </c>
      <c r="N125" s="8" t="str">
        <f t="shared" si="10"/>
        <v/>
      </c>
      <c r="O125" s="8" t="str">
        <f t="shared" si="11"/>
        <v/>
      </c>
      <c r="P125" s="4"/>
    </row>
    <row r="126" spans="1:16">
      <c r="A126" s="6"/>
      <c r="B126" s="7"/>
      <c r="C126" s="7"/>
      <c r="D126" s="8" t="str">
        <f t="shared" si="8"/>
        <v/>
      </c>
      <c r="E126" s="7"/>
      <c r="F126" s="7"/>
      <c r="G126" s="7"/>
      <c r="H126" s="7"/>
      <c r="I126" s="8" t="str">
        <f t="shared" si="9"/>
        <v/>
      </c>
      <c r="J126" s="8"/>
      <c r="K126" s="8"/>
      <c r="L126" s="8" t="str">
        <f>IF($A126="","",Settings!$B$3+SUMIFS($B$2:$B$495,$A$2:$A$495,"&lt;="&amp;$A126)-SUMIFS($J$2:$J$495,$A$2:$A$495,"&lt;="&amp;$A126)-SUMIFS('Weekly Purchases'!$N$2:$N$503,'Weekly Purchases'!$B$2:$B$503,"&lt;&gt;",'Weekly Purchases'!$B$2:$B$503,"&lt;="&amp;$A126)-SUMIFS('Weekly Purchases'!$N$2:$N$503,'Weekly Purchases'!$B$2:$B$503,"",'Weekly Purchases'!$A$2:$A$503,"&lt;="&amp;$A126))</f>
        <v/>
      </c>
      <c r="M126" s="8" t="str">
        <f>IF($A126="","",Settings!$B$4+SUMIFS($C$2:$C$495,$A$2:$A$495,"&lt;="&amp;$A126)-SUMIFS($K$2:$K$495,$A$2:$A$495,"&lt;="&amp;$A126)-SUMIFS('Weekly Purchases'!$O$2:$O$503,'Weekly Purchases'!$B$2:$B$503,"&lt;&gt;",'Weekly Purchases'!$B$2:$B$503,"&lt;="&amp;$A126)-SUMIFS('Weekly Purchases'!$O$2:$O$503,'Weekly Purchases'!$B$2:$B$503,"",'Weekly Purchases'!$A$2:$A$503,"&lt;="&amp;$A126))</f>
        <v/>
      </c>
      <c r="N126" s="8" t="str">
        <f t="shared" si="10"/>
        <v/>
      </c>
      <c r="O126" s="8" t="str">
        <f t="shared" si="11"/>
        <v/>
      </c>
      <c r="P126" s="4"/>
    </row>
    <row r="127" spans="1:16">
      <c r="A127" s="6"/>
      <c r="B127" s="7"/>
      <c r="C127" s="7"/>
      <c r="D127" s="8" t="str">
        <f t="shared" si="8"/>
        <v/>
      </c>
      <c r="E127" s="7"/>
      <c r="F127" s="7"/>
      <c r="G127" s="7"/>
      <c r="H127" s="7"/>
      <c r="I127" s="8" t="str">
        <f t="shared" si="9"/>
        <v/>
      </c>
      <c r="J127" s="8"/>
      <c r="K127" s="8"/>
      <c r="L127" s="8" t="str">
        <f>IF($A127="","",Settings!$B$3+SUMIFS($B$2:$B$495,$A$2:$A$495,"&lt;="&amp;$A127)-SUMIFS($J$2:$J$495,$A$2:$A$495,"&lt;="&amp;$A127)-SUMIFS('Weekly Purchases'!$N$2:$N$503,'Weekly Purchases'!$B$2:$B$503,"&lt;&gt;",'Weekly Purchases'!$B$2:$B$503,"&lt;="&amp;$A127)-SUMIFS('Weekly Purchases'!$N$2:$N$503,'Weekly Purchases'!$B$2:$B$503,"",'Weekly Purchases'!$A$2:$A$503,"&lt;="&amp;$A127))</f>
        <v/>
      </c>
      <c r="M127" s="8" t="str">
        <f>IF($A127="","",Settings!$B$4+SUMIFS($C$2:$C$495,$A$2:$A$495,"&lt;="&amp;$A127)-SUMIFS($K$2:$K$495,$A$2:$A$495,"&lt;="&amp;$A127)-SUMIFS('Weekly Purchases'!$O$2:$O$503,'Weekly Purchases'!$B$2:$B$503,"&lt;&gt;",'Weekly Purchases'!$B$2:$B$503,"&lt;="&amp;$A127)-SUMIFS('Weekly Purchases'!$O$2:$O$503,'Weekly Purchases'!$B$2:$B$503,"",'Weekly Purchases'!$A$2:$A$503,"&lt;="&amp;$A127))</f>
        <v/>
      </c>
      <c r="N127" s="8" t="str">
        <f t="shared" si="10"/>
        <v/>
      </c>
      <c r="O127" s="8" t="str">
        <f t="shared" si="11"/>
        <v/>
      </c>
      <c r="P127" s="4"/>
    </row>
    <row r="128" spans="1:16">
      <c r="A128" s="6"/>
      <c r="B128" s="7"/>
      <c r="C128" s="7"/>
      <c r="D128" s="8" t="str">
        <f t="shared" si="8"/>
        <v/>
      </c>
      <c r="E128" s="7"/>
      <c r="F128" s="7"/>
      <c r="G128" s="7"/>
      <c r="H128" s="7"/>
      <c r="I128" s="8" t="str">
        <f t="shared" si="9"/>
        <v/>
      </c>
      <c r="J128" s="8"/>
      <c r="K128" s="8"/>
      <c r="L128" s="8" t="str">
        <f>IF($A128="","",Settings!$B$3+SUMIFS($B$2:$B$495,$A$2:$A$495,"&lt;="&amp;$A128)-SUMIFS($J$2:$J$495,$A$2:$A$495,"&lt;="&amp;$A128)-SUMIFS('Weekly Purchases'!$N$2:$N$503,'Weekly Purchases'!$B$2:$B$503,"&lt;&gt;",'Weekly Purchases'!$B$2:$B$503,"&lt;="&amp;$A128)-SUMIFS('Weekly Purchases'!$N$2:$N$503,'Weekly Purchases'!$B$2:$B$503,"",'Weekly Purchases'!$A$2:$A$503,"&lt;="&amp;$A128))</f>
        <v/>
      </c>
      <c r="M128" s="8" t="str">
        <f>IF($A128="","",Settings!$B$4+SUMIFS($C$2:$C$495,$A$2:$A$495,"&lt;="&amp;$A128)-SUMIFS($K$2:$K$495,$A$2:$A$495,"&lt;="&amp;$A128)-SUMIFS('Weekly Purchases'!$O$2:$O$503,'Weekly Purchases'!$B$2:$B$503,"&lt;&gt;",'Weekly Purchases'!$B$2:$B$503,"&lt;="&amp;$A128)-SUMIFS('Weekly Purchases'!$O$2:$O$503,'Weekly Purchases'!$B$2:$B$503,"",'Weekly Purchases'!$A$2:$A$503,"&lt;="&amp;$A128))</f>
        <v/>
      </c>
      <c r="N128" s="8" t="str">
        <f t="shared" si="10"/>
        <v/>
      </c>
      <c r="O128" s="8" t="str">
        <f t="shared" si="11"/>
        <v/>
      </c>
      <c r="P128" s="4"/>
    </row>
    <row r="129" spans="1:16">
      <c r="A129" s="6"/>
      <c r="B129" s="7"/>
      <c r="C129" s="7"/>
      <c r="D129" s="8" t="str">
        <f t="shared" si="8"/>
        <v/>
      </c>
      <c r="E129" s="7"/>
      <c r="F129" s="7"/>
      <c r="G129" s="7"/>
      <c r="H129" s="7"/>
      <c r="I129" s="8" t="str">
        <f t="shared" si="9"/>
        <v/>
      </c>
      <c r="J129" s="8"/>
      <c r="K129" s="8"/>
      <c r="L129" s="8" t="str">
        <f>IF($A129="","",Settings!$B$3+SUMIFS($B$2:$B$495,$A$2:$A$495,"&lt;="&amp;$A129)-SUMIFS($J$2:$J$495,$A$2:$A$495,"&lt;="&amp;$A129)-SUMIFS('Weekly Purchases'!$N$2:$N$503,'Weekly Purchases'!$B$2:$B$503,"&lt;&gt;",'Weekly Purchases'!$B$2:$B$503,"&lt;="&amp;$A129)-SUMIFS('Weekly Purchases'!$N$2:$N$503,'Weekly Purchases'!$B$2:$B$503,"",'Weekly Purchases'!$A$2:$A$503,"&lt;="&amp;$A129))</f>
        <v/>
      </c>
      <c r="M129" s="8" t="str">
        <f>IF($A129="","",Settings!$B$4+SUMIFS($C$2:$C$495,$A$2:$A$495,"&lt;="&amp;$A129)-SUMIFS($K$2:$K$495,$A$2:$A$495,"&lt;="&amp;$A129)-SUMIFS('Weekly Purchases'!$O$2:$O$503,'Weekly Purchases'!$B$2:$B$503,"&lt;&gt;",'Weekly Purchases'!$B$2:$B$503,"&lt;="&amp;$A129)-SUMIFS('Weekly Purchases'!$O$2:$O$503,'Weekly Purchases'!$B$2:$B$503,"",'Weekly Purchases'!$A$2:$A$503,"&lt;="&amp;$A129))</f>
        <v/>
      </c>
      <c r="N129" s="8" t="str">
        <f t="shared" si="10"/>
        <v/>
      </c>
      <c r="O129" s="8" t="str">
        <f t="shared" si="11"/>
        <v/>
      </c>
      <c r="P129" s="4"/>
    </row>
    <row r="130" spans="1:16">
      <c r="A130" s="6"/>
      <c r="B130" s="7"/>
      <c r="C130" s="7"/>
      <c r="D130" s="8" t="str">
        <f t="shared" si="8"/>
        <v/>
      </c>
      <c r="E130" s="7"/>
      <c r="F130" s="7"/>
      <c r="G130" s="7"/>
      <c r="H130" s="7"/>
      <c r="I130" s="8" t="str">
        <f t="shared" si="9"/>
        <v/>
      </c>
      <c r="J130" s="8"/>
      <c r="K130" s="8"/>
      <c r="L130" s="8" t="str">
        <f>IF($A130="","",Settings!$B$3+SUMIFS($B$2:$B$495,$A$2:$A$495,"&lt;="&amp;$A130)-SUMIFS($J$2:$J$495,$A$2:$A$495,"&lt;="&amp;$A130)-SUMIFS('Weekly Purchases'!$N$2:$N$503,'Weekly Purchases'!$B$2:$B$503,"&lt;&gt;",'Weekly Purchases'!$B$2:$B$503,"&lt;="&amp;$A130)-SUMIFS('Weekly Purchases'!$N$2:$N$503,'Weekly Purchases'!$B$2:$B$503,"",'Weekly Purchases'!$A$2:$A$503,"&lt;="&amp;$A130))</f>
        <v/>
      </c>
      <c r="M130" s="8" t="str">
        <f>IF($A130="","",Settings!$B$4+SUMIFS($C$2:$C$495,$A$2:$A$495,"&lt;="&amp;$A130)-SUMIFS($K$2:$K$495,$A$2:$A$495,"&lt;="&amp;$A130)-SUMIFS('Weekly Purchases'!$O$2:$O$503,'Weekly Purchases'!$B$2:$B$503,"&lt;&gt;",'Weekly Purchases'!$B$2:$B$503,"&lt;="&amp;$A130)-SUMIFS('Weekly Purchases'!$O$2:$O$503,'Weekly Purchases'!$B$2:$B$503,"",'Weekly Purchases'!$A$2:$A$503,"&lt;="&amp;$A130))</f>
        <v/>
      </c>
      <c r="N130" s="8" t="str">
        <f t="shared" si="10"/>
        <v/>
      </c>
      <c r="O130" s="8" t="str">
        <f t="shared" si="11"/>
        <v/>
      </c>
      <c r="P130" s="4"/>
    </row>
    <row r="131" spans="1:16">
      <c r="A131" s="6"/>
      <c r="B131" s="7"/>
      <c r="C131" s="7"/>
      <c r="D131" s="8" t="str">
        <f t="shared" si="8"/>
        <v/>
      </c>
      <c r="E131" s="7"/>
      <c r="F131" s="7"/>
      <c r="G131" s="7"/>
      <c r="H131" s="7"/>
      <c r="I131" s="8" t="str">
        <f t="shared" si="9"/>
        <v/>
      </c>
      <c r="J131" s="8"/>
      <c r="K131" s="8"/>
      <c r="L131" s="8" t="str">
        <f>IF($A131="","",Settings!$B$3+SUMIFS($B$2:$B$495,$A$2:$A$495,"&lt;="&amp;$A131)-SUMIFS($J$2:$J$495,$A$2:$A$495,"&lt;="&amp;$A131)-SUMIFS('Weekly Purchases'!$N$2:$N$503,'Weekly Purchases'!$B$2:$B$503,"&lt;&gt;",'Weekly Purchases'!$B$2:$B$503,"&lt;="&amp;$A131)-SUMIFS('Weekly Purchases'!$N$2:$N$503,'Weekly Purchases'!$B$2:$B$503,"",'Weekly Purchases'!$A$2:$A$503,"&lt;="&amp;$A131))</f>
        <v/>
      </c>
      <c r="M131" s="8" t="str">
        <f>IF($A131="","",Settings!$B$4+SUMIFS($C$2:$C$495,$A$2:$A$495,"&lt;="&amp;$A131)-SUMIFS($K$2:$K$495,$A$2:$A$495,"&lt;="&amp;$A131)-SUMIFS('Weekly Purchases'!$O$2:$O$503,'Weekly Purchases'!$B$2:$B$503,"&lt;&gt;",'Weekly Purchases'!$B$2:$B$503,"&lt;="&amp;$A131)-SUMIFS('Weekly Purchases'!$O$2:$O$503,'Weekly Purchases'!$B$2:$B$503,"",'Weekly Purchases'!$A$2:$A$503,"&lt;="&amp;$A131))</f>
        <v/>
      </c>
      <c r="N131" s="8" t="str">
        <f t="shared" si="10"/>
        <v/>
      </c>
      <c r="O131" s="8" t="str">
        <f t="shared" si="11"/>
        <v/>
      </c>
      <c r="P131" s="4"/>
    </row>
    <row r="132" spans="1:16">
      <c r="A132" s="6"/>
      <c r="B132" s="7"/>
      <c r="C132" s="7"/>
      <c r="D132" s="8" t="str">
        <f t="shared" si="8"/>
        <v/>
      </c>
      <c r="E132" s="7"/>
      <c r="F132" s="7"/>
      <c r="G132" s="7"/>
      <c r="H132" s="7"/>
      <c r="I132" s="8" t="str">
        <f t="shared" si="9"/>
        <v/>
      </c>
      <c r="J132" s="8"/>
      <c r="K132" s="8"/>
      <c r="L132" s="8" t="str">
        <f>IF($A132="","",Settings!$B$3+SUMIFS($B$2:$B$495,$A$2:$A$495,"&lt;="&amp;$A132)-SUMIFS($J$2:$J$495,$A$2:$A$495,"&lt;="&amp;$A132)-SUMIFS('Weekly Purchases'!$N$2:$N$503,'Weekly Purchases'!$B$2:$B$503,"&lt;&gt;",'Weekly Purchases'!$B$2:$B$503,"&lt;="&amp;$A132)-SUMIFS('Weekly Purchases'!$N$2:$N$503,'Weekly Purchases'!$B$2:$B$503,"",'Weekly Purchases'!$A$2:$A$503,"&lt;="&amp;$A132))</f>
        <v/>
      </c>
      <c r="M132" s="8" t="str">
        <f>IF($A132="","",Settings!$B$4+SUMIFS($C$2:$C$495,$A$2:$A$495,"&lt;="&amp;$A132)-SUMIFS($K$2:$K$495,$A$2:$A$495,"&lt;="&amp;$A132)-SUMIFS('Weekly Purchases'!$O$2:$O$503,'Weekly Purchases'!$B$2:$B$503,"&lt;&gt;",'Weekly Purchases'!$B$2:$B$503,"&lt;="&amp;$A132)-SUMIFS('Weekly Purchases'!$O$2:$O$503,'Weekly Purchases'!$B$2:$B$503,"",'Weekly Purchases'!$A$2:$A$503,"&lt;="&amp;$A132))</f>
        <v/>
      </c>
      <c r="N132" s="8" t="str">
        <f t="shared" si="10"/>
        <v/>
      </c>
      <c r="O132" s="8" t="str">
        <f t="shared" si="11"/>
        <v/>
      </c>
      <c r="P132" s="4"/>
    </row>
    <row r="133" spans="1:16">
      <c r="A133" s="6"/>
      <c r="B133" s="7"/>
      <c r="C133" s="7"/>
      <c r="D133" s="8" t="str">
        <f t="shared" si="8"/>
        <v/>
      </c>
      <c r="E133" s="7"/>
      <c r="F133" s="7"/>
      <c r="G133" s="7"/>
      <c r="H133" s="7"/>
      <c r="I133" s="8" t="str">
        <f t="shared" si="9"/>
        <v/>
      </c>
      <c r="J133" s="8"/>
      <c r="K133" s="8"/>
      <c r="L133" s="8" t="str">
        <f>IF($A133="","",Settings!$B$3+SUMIFS($B$2:$B$495,$A$2:$A$495,"&lt;="&amp;$A133)-SUMIFS($J$2:$J$495,$A$2:$A$495,"&lt;="&amp;$A133)-SUMIFS('Weekly Purchases'!$N$2:$N$503,'Weekly Purchases'!$B$2:$B$503,"&lt;&gt;",'Weekly Purchases'!$B$2:$B$503,"&lt;="&amp;$A133)-SUMIFS('Weekly Purchases'!$N$2:$N$503,'Weekly Purchases'!$B$2:$B$503,"",'Weekly Purchases'!$A$2:$A$503,"&lt;="&amp;$A133))</f>
        <v/>
      </c>
      <c r="M133" s="8" t="str">
        <f>IF($A133="","",Settings!$B$4+SUMIFS($C$2:$C$495,$A$2:$A$495,"&lt;="&amp;$A133)-SUMIFS($K$2:$K$495,$A$2:$A$495,"&lt;="&amp;$A133)-SUMIFS('Weekly Purchases'!$O$2:$O$503,'Weekly Purchases'!$B$2:$B$503,"&lt;&gt;",'Weekly Purchases'!$B$2:$B$503,"&lt;="&amp;$A133)-SUMIFS('Weekly Purchases'!$O$2:$O$503,'Weekly Purchases'!$B$2:$B$503,"",'Weekly Purchases'!$A$2:$A$503,"&lt;="&amp;$A133))</f>
        <v/>
      </c>
      <c r="N133" s="8" t="str">
        <f t="shared" si="10"/>
        <v/>
      </c>
      <c r="O133" s="8" t="str">
        <f t="shared" si="11"/>
        <v/>
      </c>
      <c r="P133" s="4"/>
    </row>
    <row r="134" spans="1:16">
      <c r="A134" s="6"/>
      <c r="B134" s="7"/>
      <c r="C134" s="7"/>
      <c r="D134" s="8" t="str">
        <f t="shared" si="8"/>
        <v/>
      </c>
      <c r="E134" s="7"/>
      <c r="F134" s="7"/>
      <c r="G134" s="7"/>
      <c r="H134" s="7"/>
      <c r="I134" s="8" t="str">
        <f t="shared" si="9"/>
        <v/>
      </c>
      <c r="J134" s="8"/>
      <c r="K134" s="8"/>
      <c r="L134" s="8" t="str">
        <f>IF($A134="","",Settings!$B$3+SUMIFS($B$2:$B$495,$A$2:$A$495,"&lt;="&amp;$A134)-SUMIFS($J$2:$J$495,$A$2:$A$495,"&lt;="&amp;$A134)-SUMIFS('Weekly Purchases'!$N$2:$N$503,'Weekly Purchases'!$B$2:$B$503,"&lt;&gt;",'Weekly Purchases'!$B$2:$B$503,"&lt;="&amp;$A134)-SUMIFS('Weekly Purchases'!$N$2:$N$503,'Weekly Purchases'!$B$2:$B$503,"",'Weekly Purchases'!$A$2:$A$503,"&lt;="&amp;$A134))</f>
        <v/>
      </c>
      <c r="M134" s="8" t="str">
        <f>IF($A134="","",Settings!$B$4+SUMIFS($C$2:$C$495,$A$2:$A$495,"&lt;="&amp;$A134)-SUMIFS($K$2:$K$495,$A$2:$A$495,"&lt;="&amp;$A134)-SUMIFS('Weekly Purchases'!$O$2:$O$503,'Weekly Purchases'!$B$2:$B$503,"&lt;&gt;",'Weekly Purchases'!$B$2:$B$503,"&lt;="&amp;$A134)-SUMIFS('Weekly Purchases'!$O$2:$O$503,'Weekly Purchases'!$B$2:$B$503,"",'Weekly Purchases'!$A$2:$A$503,"&lt;="&amp;$A134))</f>
        <v/>
      </c>
      <c r="N134" s="8" t="str">
        <f t="shared" si="10"/>
        <v/>
      </c>
      <c r="O134" s="8" t="str">
        <f t="shared" si="11"/>
        <v/>
      </c>
      <c r="P134" s="4"/>
    </row>
    <row r="135" spans="1:16">
      <c r="A135" s="6"/>
      <c r="B135" s="7"/>
      <c r="C135" s="7"/>
      <c r="D135" s="8" t="str">
        <f t="shared" si="8"/>
        <v/>
      </c>
      <c r="E135" s="7"/>
      <c r="F135" s="7"/>
      <c r="G135" s="7"/>
      <c r="H135" s="7"/>
      <c r="I135" s="8" t="str">
        <f t="shared" si="9"/>
        <v/>
      </c>
      <c r="J135" s="8"/>
      <c r="K135" s="8"/>
      <c r="L135" s="8" t="str">
        <f>IF($A135="","",Settings!$B$3+SUMIFS($B$2:$B$495,$A$2:$A$495,"&lt;="&amp;$A135)-SUMIFS($J$2:$J$495,$A$2:$A$495,"&lt;="&amp;$A135)-SUMIFS('Weekly Purchases'!$N$2:$N$503,'Weekly Purchases'!$B$2:$B$503,"&lt;&gt;",'Weekly Purchases'!$B$2:$B$503,"&lt;="&amp;$A135)-SUMIFS('Weekly Purchases'!$N$2:$N$503,'Weekly Purchases'!$B$2:$B$503,"",'Weekly Purchases'!$A$2:$A$503,"&lt;="&amp;$A135))</f>
        <v/>
      </c>
      <c r="M135" s="8" t="str">
        <f>IF($A135="","",Settings!$B$4+SUMIFS($C$2:$C$495,$A$2:$A$495,"&lt;="&amp;$A135)-SUMIFS($K$2:$K$495,$A$2:$A$495,"&lt;="&amp;$A135)-SUMIFS('Weekly Purchases'!$O$2:$O$503,'Weekly Purchases'!$B$2:$B$503,"&lt;&gt;",'Weekly Purchases'!$B$2:$B$503,"&lt;="&amp;$A135)-SUMIFS('Weekly Purchases'!$O$2:$O$503,'Weekly Purchases'!$B$2:$B$503,"",'Weekly Purchases'!$A$2:$A$503,"&lt;="&amp;$A135))</f>
        <v/>
      </c>
      <c r="N135" s="8" t="str">
        <f t="shared" si="10"/>
        <v/>
      </c>
      <c r="O135" s="8" t="str">
        <f t="shared" si="11"/>
        <v/>
      </c>
      <c r="P135" s="4"/>
    </row>
    <row r="136" spans="1:16">
      <c r="A136" s="6"/>
      <c r="B136" s="7"/>
      <c r="C136" s="7"/>
      <c r="D136" s="8" t="str">
        <f t="shared" si="8"/>
        <v/>
      </c>
      <c r="E136" s="7"/>
      <c r="F136" s="7"/>
      <c r="G136" s="7"/>
      <c r="H136" s="7"/>
      <c r="I136" s="8" t="str">
        <f t="shared" si="9"/>
        <v/>
      </c>
      <c r="J136" s="8"/>
      <c r="K136" s="8"/>
      <c r="L136" s="8" t="str">
        <f>IF($A136="","",Settings!$B$3+SUMIFS($B$2:$B$495,$A$2:$A$495,"&lt;="&amp;$A136)-SUMIFS($J$2:$J$495,$A$2:$A$495,"&lt;="&amp;$A136)-SUMIFS('Weekly Purchases'!$N$2:$N$503,'Weekly Purchases'!$B$2:$B$503,"&lt;&gt;",'Weekly Purchases'!$B$2:$B$503,"&lt;="&amp;$A136)-SUMIFS('Weekly Purchases'!$N$2:$N$503,'Weekly Purchases'!$B$2:$B$503,"",'Weekly Purchases'!$A$2:$A$503,"&lt;="&amp;$A136))</f>
        <v/>
      </c>
      <c r="M136" s="8" t="str">
        <f>IF($A136="","",Settings!$B$4+SUMIFS($C$2:$C$495,$A$2:$A$495,"&lt;="&amp;$A136)-SUMIFS($K$2:$K$495,$A$2:$A$495,"&lt;="&amp;$A136)-SUMIFS('Weekly Purchases'!$O$2:$O$503,'Weekly Purchases'!$B$2:$B$503,"&lt;&gt;",'Weekly Purchases'!$B$2:$B$503,"&lt;="&amp;$A136)-SUMIFS('Weekly Purchases'!$O$2:$O$503,'Weekly Purchases'!$B$2:$B$503,"",'Weekly Purchases'!$A$2:$A$503,"&lt;="&amp;$A136))</f>
        <v/>
      </c>
      <c r="N136" s="8" t="str">
        <f t="shared" si="10"/>
        <v/>
      </c>
      <c r="O136" s="8" t="str">
        <f t="shared" si="11"/>
        <v/>
      </c>
      <c r="P136" s="4"/>
    </row>
    <row r="137" spans="1:16">
      <c r="A137" s="6"/>
      <c r="B137" s="7"/>
      <c r="C137" s="7"/>
      <c r="D137" s="8" t="str">
        <f t="shared" si="8"/>
        <v/>
      </c>
      <c r="E137" s="7"/>
      <c r="F137" s="7"/>
      <c r="G137" s="7"/>
      <c r="H137" s="7"/>
      <c r="I137" s="8" t="str">
        <f t="shared" si="9"/>
        <v/>
      </c>
      <c r="J137" s="8"/>
      <c r="K137" s="8"/>
      <c r="L137" s="8" t="str">
        <f>IF($A137="","",Settings!$B$3+SUMIFS($B$2:$B$495,$A$2:$A$495,"&lt;="&amp;$A137)-SUMIFS($J$2:$J$495,$A$2:$A$495,"&lt;="&amp;$A137)-SUMIFS('Weekly Purchases'!$N$2:$N$503,'Weekly Purchases'!$B$2:$B$503,"&lt;&gt;",'Weekly Purchases'!$B$2:$B$503,"&lt;="&amp;$A137)-SUMIFS('Weekly Purchases'!$N$2:$N$503,'Weekly Purchases'!$B$2:$B$503,"",'Weekly Purchases'!$A$2:$A$503,"&lt;="&amp;$A137))</f>
        <v/>
      </c>
      <c r="M137" s="8" t="str">
        <f>IF($A137="","",Settings!$B$4+SUMIFS($C$2:$C$495,$A$2:$A$495,"&lt;="&amp;$A137)-SUMIFS($K$2:$K$495,$A$2:$A$495,"&lt;="&amp;$A137)-SUMIFS('Weekly Purchases'!$O$2:$O$503,'Weekly Purchases'!$B$2:$B$503,"&lt;&gt;",'Weekly Purchases'!$B$2:$B$503,"&lt;="&amp;$A137)-SUMIFS('Weekly Purchases'!$O$2:$O$503,'Weekly Purchases'!$B$2:$B$503,"",'Weekly Purchases'!$A$2:$A$503,"&lt;="&amp;$A137))</f>
        <v/>
      </c>
      <c r="N137" s="8" t="str">
        <f t="shared" si="10"/>
        <v/>
      </c>
      <c r="O137" s="8" t="str">
        <f t="shared" si="11"/>
        <v/>
      </c>
      <c r="P137" s="4"/>
    </row>
    <row r="138" spans="1:16">
      <c r="A138" s="6"/>
      <c r="B138" s="7"/>
      <c r="C138" s="7"/>
      <c r="D138" s="8" t="str">
        <f t="shared" si="8"/>
        <v/>
      </c>
      <c r="E138" s="7"/>
      <c r="F138" s="7"/>
      <c r="G138" s="7"/>
      <c r="H138" s="7"/>
      <c r="I138" s="8" t="str">
        <f t="shared" si="9"/>
        <v/>
      </c>
      <c r="J138" s="8"/>
      <c r="K138" s="8"/>
      <c r="L138" s="8" t="str">
        <f>IF($A138="","",Settings!$B$3+SUMIFS($B$2:$B$495,$A$2:$A$495,"&lt;="&amp;$A138)-SUMIFS($J$2:$J$495,$A$2:$A$495,"&lt;="&amp;$A138)-SUMIFS('Weekly Purchases'!$N$2:$N$503,'Weekly Purchases'!$B$2:$B$503,"&lt;&gt;",'Weekly Purchases'!$B$2:$B$503,"&lt;="&amp;$A138)-SUMIFS('Weekly Purchases'!$N$2:$N$503,'Weekly Purchases'!$B$2:$B$503,"",'Weekly Purchases'!$A$2:$A$503,"&lt;="&amp;$A138))</f>
        <v/>
      </c>
      <c r="M138" s="8" t="str">
        <f>IF($A138="","",Settings!$B$4+SUMIFS($C$2:$C$495,$A$2:$A$495,"&lt;="&amp;$A138)-SUMIFS($K$2:$K$495,$A$2:$A$495,"&lt;="&amp;$A138)-SUMIFS('Weekly Purchases'!$O$2:$O$503,'Weekly Purchases'!$B$2:$B$503,"&lt;&gt;",'Weekly Purchases'!$B$2:$B$503,"&lt;="&amp;$A138)-SUMIFS('Weekly Purchases'!$O$2:$O$503,'Weekly Purchases'!$B$2:$B$503,"",'Weekly Purchases'!$A$2:$A$503,"&lt;="&amp;$A138))</f>
        <v/>
      </c>
      <c r="N138" s="8" t="str">
        <f t="shared" si="10"/>
        <v/>
      </c>
      <c r="O138" s="8" t="str">
        <f t="shared" si="11"/>
        <v/>
      </c>
      <c r="P138" s="4"/>
    </row>
    <row r="139" spans="1:16">
      <c r="A139" s="6"/>
      <c r="B139" s="7"/>
      <c r="C139" s="7"/>
      <c r="D139" s="8" t="str">
        <f t="shared" si="8"/>
        <v/>
      </c>
      <c r="E139" s="7"/>
      <c r="F139" s="7"/>
      <c r="G139" s="7"/>
      <c r="H139" s="7"/>
      <c r="I139" s="8" t="str">
        <f t="shared" si="9"/>
        <v/>
      </c>
      <c r="J139" s="8"/>
      <c r="K139" s="8"/>
      <c r="L139" s="8" t="str">
        <f>IF($A139="","",Settings!$B$3+SUMIFS($B$2:$B$495,$A$2:$A$495,"&lt;="&amp;$A139)-SUMIFS($J$2:$J$495,$A$2:$A$495,"&lt;="&amp;$A139)-SUMIFS('Weekly Purchases'!$N$2:$N$503,'Weekly Purchases'!$B$2:$B$503,"&lt;&gt;",'Weekly Purchases'!$B$2:$B$503,"&lt;="&amp;$A139)-SUMIFS('Weekly Purchases'!$N$2:$N$503,'Weekly Purchases'!$B$2:$B$503,"",'Weekly Purchases'!$A$2:$A$503,"&lt;="&amp;$A139))</f>
        <v/>
      </c>
      <c r="M139" s="8" t="str">
        <f>IF($A139="","",Settings!$B$4+SUMIFS($C$2:$C$495,$A$2:$A$495,"&lt;="&amp;$A139)-SUMIFS($K$2:$K$495,$A$2:$A$495,"&lt;="&amp;$A139)-SUMIFS('Weekly Purchases'!$O$2:$O$503,'Weekly Purchases'!$B$2:$B$503,"&lt;&gt;",'Weekly Purchases'!$B$2:$B$503,"&lt;="&amp;$A139)-SUMIFS('Weekly Purchases'!$O$2:$O$503,'Weekly Purchases'!$B$2:$B$503,"",'Weekly Purchases'!$A$2:$A$503,"&lt;="&amp;$A139))</f>
        <v/>
      </c>
      <c r="N139" s="8" t="str">
        <f t="shared" si="10"/>
        <v/>
      </c>
      <c r="O139" s="8" t="str">
        <f t="shared" si="11"/>
        <v/>
      </c>
      <c r="P139" s="4"/>
    </row>
    <row r="140" spans="1:16">
      <c r="A140" s="6"/>
      <c r="B140" s="7"/>
      <c r="C140" s="7"/>
      <c r="D140" s="8" t="str">
        <f t="shared" si="8"/>
        <v/>
      </c>
      <c r="E140" s="7"/>
      <c r="F140" s="7"/>
      <c r="G140" s="7"/>
      <c r="H140" s="7"/>
      <c r="I140" s="8" t="str">
        <f t="shared" si="9"/>
        <v/>
      </c>
      <c r="J140" s="8"/>
      <c r="K140" s="8"/>
      <c r="L140" s="8" t="str">
        <f>IF($A140="","",Settings!$B$3+SUMIFS($B$2:$B$495,$A$2:$A$495,"&lt;="&amp;$A140)-SUMIFS($J$2:$J$495,$A$2:$A$495,"&lt;="&amp;$A140)-SUMIFS('Weekly Purchases'!$N$2:$N$503,'Weekly Purchases'!$B$2:$B$503,"&lt;&gt;",'Weekly Purchases'!$B$2:$B$503,"&lt;="&amp;$A140)-SUMIFS('Weekly Purchases'!$N$2:$N$503,'Weekly Purchases'!$B$2:$B$503,"",'Weekly Purchases'!$A$2:$A$503,"&lt;="&amp;$A140))</f>
        <v/>
      </c>
      <c r="M140" s="8" t="str">
        <f>IF($A140="","",Settings!$B$4+SUMIFS($C$2:$C$495,$A$2:$A$495,"&lt;="&amp;$A140)-SUMIFS($K$2:$K$495,$A$2:$A$495,"&lt;="&amp;$A140)-SUMIFS('Weekly Purchases'!$O$2:$O$503,'Weekly Purchases'!$B$2:$B$503,"&lt;&gt;",'Weekly Purchases'!$B$2:$B$503,"&lt;="&amp;$A140)-SUMIFS('Weekly Purchases'!$O$2:$O$503,'Weekly Purchases'!$B$2:$B$503,"",'Weekly Purchases'!$A$2:$A$503,"&lt;="&amp;$A140))</f>
        <v/>
      </c>
      <c r="N140" s="8" t="str">
        <f t="shared" si="10"/>
        <v/>
      </c>
      <c r="O140" s="8" t="str">
        <f t="shared" si="11"/>
        <v/>
      </c>
      <c r="P140" s="4"/>
    </row>
    <row r="141" spans="1:16">
      <c r="A141" s="6"/>
      <c r="B141" s="7"/>
      <c r="C141" s="7"/>
      <c r="D141" s="8" t="str">
        <f t="shared" si="8"/>
        <v/>
      </c>
      <c r="E141" s="7"/>
      <c r="F141" s="7"/>
      <c r="G141" s="7"/>
      <c r="H141" s="7"/>
      <c r="I141" s="8" t="str">
        <f t="shared" si="9"/>
        <v/>
      </c>
      <c r="J141" s="8"/>
      <c r="K141" s="8"/>
      <c r="L141" s="8" t="str">
        <f>IF($A141="","",Settings!$B$3+SUMIFS($B$2:$B$495,$A$2:$A$495,"&lt;="&amp;$A141)-SUMIFS($J$2:$J$495,$A$2:$A$495,"&lt;="&amp;$A141)-SUMIFS('Weekly Purchases'!$N$2:$N$503,'Weekly Purchases'!$B$2:$B$503,"&lt;&gt;",'Weekly Purchases'!$B$2:$B$503,"&lt;="&amp;$A141)-SUMIFS('Weekly Purchases'!$N$2:$N$503,'Weekly Purchases'!$B$2:$B$503,"",'Weekly Purchases'!$A$2:$A$503,"&lt;="&amp;$A141))</f>
        <v/>
      </c>
      <c r="M141" s="8" t="str">
        <f>IF($A141="","",Settings!$B$4+SUMIFS($C$2:$C$495,$A$2:$A$495,"&lt;="&amp;$A141)-SUMIFS($K$2:$K$495,$A$2:$A$495,"&lt;="&amp;$A141)-SUMIFS('Weekly Purchases'!$O$2:$O$503,'Weekly Purchases'!$B$2:$B$503,"&lt;&gt;",'Weekly Purchases'!$B$2:$B$503,"&lt;="&amp;$A141)-SUMIFS('Weekly Purchases'!$O$2:$O$503,'Weekly Purchases'!$B$2:$B$503,"",'Weekly Purchases'!$A$2:$A$503,"&lt;="&amp;$A141))</f>
        <v/>
      </c>
      <c r="N141" s="8" t="str">
        <f t="shared" si="10"/>
        <v/>
      </c>
      <c r="O141" s="8" t="str">
        <f t="shared" si="11"/>
        <v/>
      </c>
      <c r="P141" s="4"/>
    </row>
    <row r="142" spans="1:16">
      <c r="A142" s="6"/>
      <c r="B142" s="7"/>
      <c r="C142" s="7"/>
      <c r="D142" s="8" t="str">
        <f t="shared" si="8"/>
        <v/>
      </c>
      <c r="E142" s="7"/>
      <c r="F142" s="7"/>
      <c r="G142" s="7"/>
      <c r="H142" s="7"/>
      <c r="I142" s="8" t="str">
        <f t="shared" si="9"/>
        <v/>
      </c>
      <c r="J142" s="8"/>
      <c r="K142" s="8"/>
      <c r="L142" s="8" t="str">
        <f>IF($A142="","",Settings!$B$3+SUMIFS($B$2:$B$495,$A$2:$A$495,"&lt;="&amp;$A142)-SUMIFS($J$2:$J$495,$A$2:$A$495,"&lt;="&amp;$A142)-SUMIFS('Weekly Purchases'!$N$2:$N$503,'Weekly Purchases'!$B$2:$B$503,"&lt;&gt;",'Weekly Purchases'!$B$2:$B$503,"&lt;="&amp;$A142)-SUMIFS('Weekly Purchases'!$N$2:$N$503,'Weekly Purchases'!$B$2:$B$503,"",'Weekly Purchases'!$A$2:$A$503,"&lt;="&amp;$A142))</f>
        <v/>
      </c>
      <c r="M142" s="8" t="str">
        <f>IF($A142="","",Settings!$B$4+SUMIFS($C$2:$C$495,$A$2:$A$495,"&lt;="&amp;$A142)-SUMIFS($K$2:$K$495,$A$2:$A$495,"&lt;="&amp;$A142)-SUMIFS('Weekly Purchases'!$O$2:$O$503,'Weekly Purchases'!$B$2:$B$503,"&lt;&gt;",'Weekly Purchases'!$B$2:$B$503,"&lt;="&amp;$A142)-SUMIFS('Weekly Purchases'!$O$2:$O$503,'Weekly Purchases'!$B$2:$B$503,"",'Weekly Purchases'!$A$2:$A$503,"&lt;="&amp;$A142))</f>
        <v/>
      </c>
      <c r="N142" s="8" t="str">
        <f t="shared" si="10"/>
        <v/>
      </c>
      <c r="O142" s="8" t="str">
        <f t="shared" si="11"/>
        <v/>
      </c>
      <c r="P142" s="4"/>
    </row>
    <row r="143" spans="1:16">
      <c r="A143" s="6"/>
      <c r="B143" s="7"/>
      <c r="C143" s="7"/>
      <c r="D143" s="8" t="str">
        <f t="shared" si="8"/>
        <v/>
      </c>
      <c r="E143" s="7"/>
      <c r="F143" s="7"/>
      <c r="G143" s="7"/>
      <c r="H143" s="7"/>
      <c r="I143" s="8" t="str">
        <f t="shared" si="9"/>
        <v/>
      </c>
      <c r="J143" s="8"/>
      <c r="K143" s="8"/>
      <c r="L143" s="8" t="str">
        <f>IF($A143="","",Settings!$B$3+SUMIFS($B$2:$B$495,$A$2:$A$495,"&lt;="&amp;$A143)-SUMIFS($J$2:$J$495,$A$2:$A$495,"&lt;="&amp;$A143)-SUMIFS('Weekly Purchases'!$N$2:$N$503,'Weekly Purchases'!$B$2:$B$503,"&lt;&gt;",'Weekly Purchases'!$B$2:$B$503,"&lt;="&amp;$A143)-SUMIFS('Weekly Purchases'!$N$2:$N$503,'Weekly Purchases'!$B$2:$B$503,"",'Weekly Purchases'!$A$2:$A$503,"&lt;="&amp;$A143))</f>
        <v/>
      </c>
      <c r="M143" s="8" t="str">
        <f>IF($A143="","",Settings!$B$4+SUMIFS($C$2:$C$495,$A$2:$A$495,"&lt;="&amp;$A143)-SUMIFS($K$2:$K$495,$A$2:$A$495,"&lt;="&amp;$A143)-SUMIFS('Weekly Purchases'!$O$2:$O$503,'Weekly Purchases'!$B$2:$B$503,"&lt;&gt;",'Weekly Purchases'!$B$2:$B$503,"&lt;="&amp;$A143)-SUMIFS('Weekly Purchases'!$O$2:$O$503,'Weekly Purchases'!$B$2:$B$503,"",'Weekly Purchases'!$A$2:$A$503,"&lt;="&amp;$A143))</f>
        <v/>
      </c>
      <c r="N143" s="8" t="str">
        <f t="shared" si="10"/>
        <v/>
      </c>
      <c r="O143" s="8" t="str">
        <f t="shared" si="11"/>
        <v/>
      </c>
      <c r="P143" s="4"/>
    </row>
    <row r="144" spans="1:16">
      <c r="A144" s="6"/>
      <c r="B144" s="7"/>
      <c r="C144" s="7"/>
      <c r="D144" s="8" t="str">
        <f t="shared" si="8"/>
        <v/>
      </c>
      <c r="E144" s="7"/>
      <c r="F144" s="7"/>
      <c r="G144" s="7"/>
      <c r="H144" s="7"/>
      <c r="I144" s="8" t="str">
        <f t="shared" si="9"/>
        <v/>
      </c>
      <c r="J144" s="8"/>
      <c r="K144" s="8"/>
      <c r="L144" s="8" t="str">
        <f>IF($A144="","",Settings!$B$3+SUMIFS($B$2:$B$495,$A$2:$A$495,"&lt;="&amp;$A144)-SUMIFS($J$2:$J$495,$A$2:$A$495,"&lt;="&amp;$A144)-SUMIFS('Weekly Purchases'!$N$2:$N$503,'Weekly Purchases'!$B$2:$B$503,"&lt;&gt;",'Weekly Purchases'!$B$2:$B$503,"&lt;="&amp;$A144)-SUMIFS('Weekly Purchases'!$N$2:$N$503,'Weekly Purchases'!$B$2:$B$503,"",'Weekly Purchases'!$A$2:$A$503,"&lt;="&amp;$A144))</f>
        <v/>
      </c>
      <c r="M144" s="8" t="str">
        <f>IF($A144="","",Settings!$B$4+SUMIFS($C$2:$C$495,$A$2:$A$495,"&lt;="&amp;$A144)-SUMIFS($K$2:$K$495,$A$2:$A$495,"&lt;="&amp;$A144)-SUMIFS('Weekly Purchases'!$O$2:$O$503,'Weekly Purchases'!$B$2:$B$503,"&lt;&gt;",'Weekly Purchases'!$B$2:$B$503,"&lt;="&amp;$A144)-SUMIFS('Weekly Purchases'!$O$2:$O$503,'Weekly Purchases'!$B$2:$B$503,"",'Weekly Purchases'!$A$2:$A$503,"&lt;="&amp;$A144))</f>
        <v/>
      </c>
      <c r="N144" s="8" t="str">
        <f t="shared" si="10"/>
        <v/>
      </c>
      <c r="O144" s="8" t="str">
        <f t="shared" si="11"/>
        <v/>
      </c>
      <c r="P144" s="4"/>
    </row>
    <row r="145" spans="1:16">
      <c r="A145" s="6"/>
      <c r="B145" s="7"/>
      <c r="C145" s="7"/>
      <c r="D145" s="8" t="str">
        <f t="shared" si="8"/>
        <v/>
      </c>
      <c r="E145" s="7"/>
      <c r="F145" s="7"/>
      <c r="G145" s="7"/>
      <c r="H145" s="7"/>
      <c r="I145" s="8" t="str">
        <f t="shared" si="9"/>
        <v/>
      </c>
      <c r="J145" s="8"/>
      <c r="K145" s="8"/>
      <c r="L145" s="8" t="str">
        <f>IF($A145="","",Settings!$B$3+SUMIFS($B$2:$B$495,$A$2:$A$495,"&lt;="&amp;$A145)-SUMIFS($J$2:$J$495,$A$2:$A$495,"&lt;="&amp;$A145)-SUMIFS('Weekly Purchases'!$N$2:$N$503,'Weekly Purchases'!$B$2:$B$503,"&lt;&gt;",'Weekly Purchases'!$B$2:$B$503,"&lt;="&amp;$A145)-SUMIFS('Weekly Purchases'!$N$2:$N$503,'Weekly Purchases'!$B$2:$B$503,"",'Weekly Purchases'!$A$2:$A$503,"&lt;="&amp;$A145))</f>
        <v/>
      </c>
      <c r="M145" s="8" t="str">
        <f>IF($A145="","",Settings!$B$4+SUMIFS($C$2:$C$495,$A$2:$A$495,"&lt;="&amp;$A145)-SUMIFS($K$2:$K$495,$A$2:$A$495,"&lt;="&amp;$A145)-SUMIFS('Weekly Purchases'!$O$2:$O$503,'Weekly Purchases'!$B$2:$B$503,"&lt;&gt;",'Weekly Purchases'!$B$2:$B$503,"&lt;="&amp;$A145)-SUMIFS('Weekly Purchases'!$O$2:$O$503,'Weekly Purchases'!$B$2:$B$503,"",'Weekly Purchases'!$A$2:$A$503,"&lt;="&amp;$A145))</f>
        <v/>
      </c>
      <c r="N145" s="8" t="str">
        <f t="shared" si="10"/>
        <v/>
      </c>
      <c r="O145" s="8" t="str">
        <f t="shared" si="11"/>
        <v/>
      </c>
      <c r="P145" s="4"/>
    </row>
    <row r="146" spans="1:16">
      <c r="A146" s="6"/>
      <c r="B146" s="7"/>
      <c r="C146" s="7"/>
      <c r="D146" s="8" t="str">
        <f t="shared" si="8"/>
        <v/>
      </c>
      <c r="E146" s="7"/>
      <c r="F146" s="7"/>
      <c r="G146" s="7"/>
      <c r="H146" s="7"/>
      <c r="I146" s="8" t="str">
        <f t="shared" si="9"/>
        <v/>
      </c>
      <c r="J146" s="8"/>
      <c r="K146" s="8"/>
      <c r="L146" s="8" t="str">
        <f>IF($A146="","",Settings!$B$3+SUMIFS($B$2:$B$495,$A$2:$A$495,"&lt;="&amp;$A146)-SUMIFS($J$2:$J$495,$A$2:$A$495,"&lt;="&amp;$A146)-SUMIFS('Weekly Purchases'!$N$2:$N$503,'Weekly Purchases'!$B$2:$B$503,"&lt;&gt;",'Weekly Purchases'!$B$2:$B$503,"&lt;="&amp;$A146)-SUMIFS('Weekly Purchases'!$N$2:$N$503,'Weekly Purchases'!$B$2:$B$503,"",'Weekly Purchases'!$A$2:$A$503,"&lt;="&amp;$A146))</f>
        <v/>
      </c>
      <c r="M146" s="8" t="str">
        <f>IF($A146="","",Settings!$B$4+SUMIFS($C$2:$C$495,$A$2:$A$495,"&lt;="&amp;$A146)-SUMIFS($K$2:$K$495,$A$2:$A$495,"&lt;="&amp;$A146)-SUMIFS('Weekly Purchases'!$O$2:$O$503,'Weekly Purchases'!$B$2:$B$503,"&lt;&gt;",'Weekly Purchases'!$B$2:$B$503,"&lt;="&amp;$A146)-SUMIFS('Weekly Purchases'!$O$2:$O$503,'Weekly Purchases'!$B$2:$B$503,"",'Weekly Purchases'!$A$2:$A$503,"&lt;="&amp;$A146))</f>
        <v/>
      </c>
      <c r="N146" s="8" t="str">
        <f t="shared" si="10"/>
        <v/>
      </c>
      <c r="O146" s="8" t="str">
        <f t="shared" si="11"/>
        <v/>
      </c>
      <c r="P146" s="4"/>
    </row>
    <row r="147" spans="1:16">
      <c r="A147" s="6"/>
      <c r="B147" s="7"/>
      <c r="C147" s="7"/>
      <c r="D147" s="8" t="str">
        <f t="shared" si="8"/>
        <v/>
      </c>
      <c r="E147" s="7"/>
      <c r="F147" s="7"/>
      <c r="G147" s="7"/>
      <c r="H147" s="7"/>
      <c r="I147" s="8" t="str">
        <f t="shared" si="9"/>
        <v/>
      </c>
      <c r="J147" s="8"/>
      <c r="K147" s="8"/>
      <c r="L147" s="8" t="str">
        <f>IF($A147="","",Settings!$B$3+SUMIFS($B$2:$B$495,$A$2:$A$495,"&lt;="&amp;$A147)-SUMIFS($J$2:$J$495,$A$2:$A$495,"&lt;="&amp;$A147)-SUMIFS('Weekly Purchases'!$N$2:$N$503,'Weekly Purchases'!$B$2:$B$503,"&lt;&gt;",'Weekly Purchases'!$B$2:$B$503,"&lt;="&amp;$A147)-SUMIFS('Weekly Purchases'!$N$2:$N$503,'Weekly Purchases'!$B$2:$B$503,"",'Weekly Purchases'!$A$2:$A$503,"&lt;="&amp;$A147))</f>
        <v/>
      </c>
      <c r="M147" s="8" t="str">
        <f>IF($A147="","",Settings!$B$4+SUMIFS($C$2:$C$495,$A$2:$A$495,"&lt;="&amp;$A147)-SUMIFS($K$2:$K$495,$A$2:$A$495,"&lt;="&amp;$A147)-SUMIFS('Weekly Purchases'!$O$2:$O$503,'Weekly Purchases'!$B$2:$B$503,"&lt;&gt;",'Weekly Purchases'!$B$2:$B$503,"&lt;="&amp;$A147)-SUMIFS('Weekly Purchases'!$O$2:$O$503,'Weekly Purchases'!$B$2:$B$503,"",'Weekly Purchases'!$A$2:$A$503,"&lt;="&amp;$A147))</f>
        <v/>
      </c>
      <c r="N147" s="8" t="str">
        <f t="shared" si="10"/>
        <v/>
      </c>
      <c r="O147" s="8" t="str">
        <f t="shared" si="11"/>
        <v/>
      </c>
      <c r="P147" s="4"/>
    </row>
    <row r="148" spans="1:16">
      <c r="A148" s="6"/>
      <c r="B148" s="7"/>
      <c r="C148" s="7"/>
      <c r="D148" s="8" t="str">
        <f t="shared" si="8"/>
        <v/>
      </c>
      <c r="E148" s="7"/>
      <c r="F148" s="7"/>
      <c r="G148" s="7"/>
      <c r="H148" s="7"/>
      <c r="I148" s="8" t="str">
        <f t="shared" si="9"/>
        <v/>
      </c>
      <c r="J148" s="8"/>
      <c r="K148" s="8"/>
      <c r="L148" s="8" t="str">
        <f>IF($A148="","",Settings!$B$3+SUMIFS($B$2:$B$495,$A$2:$A$495,"&lt;="&amp;$A148)-SUMIFS($J$2:$J$495,$A$2:$A$495,"&lt;="&amp;$A148)-SUMIFS('Weekly Purchases'!$N$2:$N$503,'Weekly Purchases'!$B$2:$B$503,"&lt;&gt;",'Weekly Purchases'!$B$2:$B$503,"&lt;="&amp;$A148)-SUMIFS('Weekly Purchases'!$N$2:$N$503,'Weekly Purchases'!$B$2:$B$503,"",'Weekly Purchases'!$A$2:$A$503,"&lt;="&amp;$A148))</f>
        <v/>
      </c>
      <c r="M148" s="8" t="str">
        <f>IF($A148="","",Settings!$B$4+SUMIFS($C$2:$C$495,$A$2:$A$495,"&lt;="&amp;$A148)-SUMIFS($K$2:$K$495,$A$2:$A$495,"&lt;="&amp;$A148)-SUMIFS('Weekly Purchases'!$O$2:$O$503,'Weekly Purchases'!$B$2:$B$503,"&lt;&gt;",'Weekly Purchases'!$B$2:$B$503,"&lt;="&amp;$A148)-SUMIFS('Weekly Purchases'!$O$2:$O$503,'Weekly Purchases'!$B$2:$B$503,"",'Weekly Purchases'!$A$2:$A$503,"&lt;="&amp;$A148))</f>
        <v/>
      </c>
      <c r="N148" s="8" t="str">
        <f t="shared" si="10"/>
        <v/>
      </c>
      <c r="O148" s="8" t="str">
        <f t="shared" si="11"/>
        <v/>
      </c>
      <c r="P148" s="4"/>
    </row>
    <row r="149" spans="1:16">
      <c r="A149" s="6"/>
      <c r="B149" s="7"/>
      <c r="C149" s="7"/>
      <c r="D149" s="8" t="str">
        <f t="shared" si="8"/>
        <v/>
      </c>
      <c r="E149" s="7"/>
      <c r="F149" s="7"/>
      <c r="G149" s="7"/>
      <c r="H149" s="7"/>
      <c r="I149" s="8" t="str">
        <f t="shared" si="9"/>
        <v/>
      </c>
      <c r="J149" s="8"/>
      <c r="K149" s="8"/>
      <c r="L149" s="8" t="str">
        <f>IF($A149="","",Settings!$B$3+SUMIFS($B$2:$B$495,$A$2:$A$495,"&lt;="&amp;$A149)-SUMIFS($J$2:$J$495,$A$2:$A$495,"&lt;="&amp;$A149)-SUMIFS('Weekly Purchases'!$N$2:$N$503,'Weekly Purchases'!$B$2:$B$503,"&lt;&gt;",'Weekly Purchases'!$B$2:$B$503,"&lt;="&amp;$A149)-SUMIFS('Weekly Purchases'!$N$2:$N$503,'Weekly Purchases'!$B$2:$B$503,"",'Weekly Purchases'!$A$2:$A$503,"&lt;="&amp;$A149))</f>
        <v/>
      </c>
      <c r="M149" s="8" t="str">
        <f>IF($A149="","",Settings!$B$4+SUMIFS($C$2:$C$495,$A$2:$A$495,"&lt;="&amp;$A149)-SUMIFS($K$2:$K$495,$A$2:$A$495,"&lt;="&amp;$A149)-SUMIFS('Weekly Purchases'!$O$2:$O$503,'Weekly Purchases'!$B$2:$B$503,"&lt;&gt;",'Weekly Purchases'!$B$2:$B$503,"&lt;="&amp;$A149)-SUMIFS('Weekly Purchases'!$O$2:$O$503,'Weekly Purchases'!$B$2:$B$503,"",'Weekly Purchases'!$A$2:$A$503,"&lt;="&amp;$A149))</f>
        <v/>
      </c>
      <c r="N149" s="8" t="str">
        <f t="shared" si="10"/>
        <v/>
      </c>
      <c r="O149" s="8" t="str">
        <f t="shared" si="11"/>
        <v/>
      </c>
      <c r="P149" s="4"/>
    </row>
    <row r="150" spans="1:16">
      <c r="A150" s="6"/>
      <c r="B150" s="7"/>
      <c r="C150" s="7"/>
      <c r="D150" s="8" t="str">
        <f t="shared" si="8"/>
        <v/>
      </c>
      <c r="E150" s="7"/>
      <c r="F150" s="7"/>
      <c r="G150" s="7"/>
      <c r="H150" s="7"/>
      <c r="I150" s="8" t="str">
        <f t="shared" si="9"/>
        <v/>
      </c>
      <c r="J150" s="8"/>
      <c r="K150" s="8"/>
      <c r="L150" s="8" t="str">
        <f>IF($A150="","",Settings!$B$3+SUMIFS($B$2:$B$495,$A$2:$A$495,"&lt;="&amp;$A150)-SUMIFS($J$2:$J$495,$A$2:$A$495,"&lt;="&amp;$A150)-SUMIFS('Weekly Purchases'!$N$2:$N$503,'Weekly Purchases'!$B$2:$B$503,"&lt;&gt;",'Weekly Purchases'!$B$2:$B$503,"&lt;="&amp;$A150)-SUMIFS('Weekly Purchases'!$N$2:$N$503,'Weekly Purchases'!$B$2:$B$503,"",'Weekly Purchases'!$A$2:$A$503,"&lt;="&amp;$A150))</f>
        <v/>
      </c>
      <c r="M150" s="8" t="str">
        <f>IF($A150="","",Settings!$B$4+SUMIFS($C$2:$C$495,$A$2:$A$495,"&lt;="&amp;$A150)-SUMIFS($K$2:$K$495,$A$2:$A$495,"&lt;="&amp;$A150)-SUMIFS('Weekly Purchases'!$O$2:$O$503,'Weekly Purchases'!$B$2:$B$503,"&lt;&gt;",'Weekly Purchases'!$B$2:$B$503,"&lt;="&amp;$A150)-SUMIFS('Weekly Purchases'!$O$2:$O$503,'Weekly Purchases'!$B$2:$B$503,"",'Weekly Purchases'!$A$2:$A$503,"&lt;="&amp;$A150))</f>
        <v/>
      </c>
      <c r="N150" s="8" t="str">
        <f t="shared" si="10"/>
        <v/>
      </c>
      <c r="O150" s="8" t="str">
        <f t="shared" si="11"/>
        <v/>
      </c>
      <c r="P150" s="4"/>
    </row>
    <row r="151" spans="1:16">
      <c r="A151" s="6"/>
      <c r="B151" s="7"/>
      <c r="C151" s="7"/>
      <c r="D151" s="8" t="str">
        <f t="shared" si="8"/>
        <v/>
      </c>
      <c r="E151" s="7"/>
      <c r="F151" s="7"/>
      <c r="G151" s="7"/>
      <c r="H151" s="7"/>
      <c r="I151" s="8" t="str">
        <f t="shared" si="9"/>
        <v/>
      </c>
      <c r="J151" s="8"/>
      <c r="K151" s="8"/>
      <c r="L151" s="8" t="str">
        <f>IF($A151="","",Settings!$B$3+SUMIFS($B$2:$B$495,$A$2:$A$495,"&lt;="&amp;$A151)-SUMIFS($J$2:$J$495,$A$2:$A$495,"&lt;="&amp;$A151)-SUMIFS('Weekly Purchases'!$N$2:$N$503,'Weekly Purchases'!$B$2:$B$503,"&lt;&gt;",'Weekly Purchases'!$B$2:$B$503,"&lt;="&amp;$A151)-SUMIFS('Weekly Purchases'!$N$2:$N$503,'Weekly Purchases'!$B$2:$B$503,"",'Weekly Purchases'!$A$2:$A$503,"&lt;="&amp;$A151))</f>
        <v/>
      </c>
      <c r="M151" s="8" t="str">
        <f>IF($A151="","",Settings!$B$4+SUMIFS($C$2:$C$495,$A$2:$A$495,"&lt;="&amp;$A151)-SUMIFS($K$2:$K$495,$A$2:$A$495,"&lt;="&amp;$A151)-SUMIFS('Weekly Purchases'!$O$2:$O$503,'Weekly Purchases'!$B$2:$B$503,"&lt;&gt;",'Weekly Purchases'!$B$2:$B$503,"&lt;="&amp;$A151)-SUMIFS('Weekly Purchases'!$O$2:$O$503,'Weekly Purchases'!$B$2:$B$503,"",'Weekly Purchases'!$A$2:$A$503,"&lt;="&amp;$A151))</f>
        <v/>
      </c>
      <c r="N151" s="8" t="str">
        <f t="shared" si="10"/>
        <v/>
      </c>
      <c r="O151" s="8" t="str">
        <f t="shared" si="11"/>
        <v/>
      </c>
      <c r="P151" s="4"/>
    </row>
    <row r="152" spans="1:16">
      <c r="A152" s="6"/>
      <c r="B152" s="7"/>
      <c r="C152" s="7"/>
      <c r="D152" s="8" t="str">
        <f t="shared" si="8"/>
        <v/>
      </c>
      <c r="E152" s="7"/>
      <c r="F152" s="7"/>
      <c r="G152" s="7"/>
      <c r="H152" s="7"/>
      <c r="I152" s="8" t="str">
        <f t="shared" si="9"/>
        <v/>
      </c>
      <c r="J152" s="8"/>
      <c r="K152" s="8"/>
      <c r="L152" s="8" t="str">
        <f>IF($A152="","",Settings!$B$3+SUMIFS($B$2:$B$495,$A$2:$A$495,"&lt;="&amp;$A152)-SUMIFS($J$2:$J$495,$A$2:$A$495,"&lt;="&amp;$A152)-SUMIFS('Weekly Purchases'!$N$2:$N$503,'Weekly Purchases'!$B$2:$B$503,"&lt;&gt;",'Weekly Purchases'!$B$2:$B$503,"&lt;="&amp;$A152)-SUMIFS('Weekly Purchases'!$N$2:$N$503,'Weekly Purchases'!$B$2:$B$503,"",'Weekly Purchases'!$A$2:$A$503,"&lt;="&amp;$A152))</f>
        <v/>
      </c>
      <c r="M152" s="8" t="str">
        <f>IF($A152="","",Settings!$B$4+SUMIFS($C$2:$C$495,$A$2:$A$495,"&lt;="&amp;$A152)-SUMIFS($K$2:$K$495,$A$2:$A$495,"&lt;="&amp;$A152)-SUMIFS('Weekly Purchases'!$O$2:$O$503,'Weekly Purchases'!$B$2:$B$503,"&lt;&gt;",'Weekly Purchases'!$B$2:$B$503,"&lt;="&amp;$A152)-SUMIFS('Weekly Purchases'!$O$2:$O$503,'Weekly Purchases'!$B$2:$B$503,"",'Weekly Purchases'!$A$2:$A$503,"&lt;="&amp;$A152))</f>
        <v/>
      </c>
      <c r="N152" s="8" t="str">
        <f t="shared" si="10"/>
        <v/>
      </c>
      <c r="O152" s="8" t="str">
        <f t="shared" si="11"/>
        <v/>
      </c>
      <c r="P152" s="4"/>
    </row>
    <row r="153" spans="1:16">
      <c r="A153" s="6"/>
      <c r="B153" s="7"/>
      <c r="C153" s="7"/>
      <c r="D153" s="8" t="str">
        <f t="shared" si="8"/>
        <v/>
      </c>
      <c r="E153" s="7"/>
      <c r="F153" s="7"/>
      <c r="G153" s="7"/>
      <c r="H153" s="7"/>
      <c r="I153" s="8" t="str">
        <f t="shared" si="9"/>
        <v/>
      </c>
      <c r="J153" s="8"/>
      <c r="K153" s="8"/>
      <c r="L153" s="8" t="str">
        <f>IF($A153="","",Settings!$B$3+SUMIFS($B$2:$B$495,$A$2:$A$495,"&lt;="&amp;$A153)-SUMIFS($J$2:$J$495,$A$2:$A$495,"&lt;="&amp;$A153)-SUMIFS('Weekly Purchases'!$N$2:$N$503,'Weekly Purchases'!$B$2:$B$503,"&lt;&gt;",'Weekly Purchases'!$B$2:$B$503,"&lt;="&amp;$A153)-SUMIFS('Weekly Purchases'!$N$2:$N$503,'Weekly Purchases'!$B$2:$B$503,"",'Weekly Purchases'!$A$2:$A$503,"&lt;="&amp;$A153))</f>
        <v/>
      </c>
      <c r="M153" s="8" t="str">
        <f>IF($A153="","",Settings!$B$4+SUMIFS($C$2:$C$495,$A$2:$A$495,"&lt;="&amp;$A153)-SUMIFS($K$2:$K$495,$A$2:$A$495,"&lt;="&amp;$A153)-SUMIFS('Weekly Purchases'!$O$2:$O$503,'Weekly Purchases'!$B$2:$B$503,"&lt;&gt;",'Weekly Purchases'!$B$2:$B$503,"&lt;="&amp;$A153)-SUMIFS('Weekly Purchases'!$O$2:$O$503,'Weekly Purchases'!$B$2:$B$503,"",'Weekly Purchases'!$A$2:$A$503,"&lt;="&amp;$A153))</f>
        <v/>
      </c>
      <c r="N153" s="8" t="str">
        <f t="shared" si="10"/>
        <v/>
      </c>
      <c r="O153" s="8" t="str">
        <f t="shared" si="11"/>
        <v/>
      </c>
      <c r="P153" s="4"/>
    </row>
    <row r="154" spans="1:16">
      <c r="A154" s="6"/>
      <c r="B154" s="7"/>
      <c r="C154" s="7"/>
      <c r="D154" s="8" t="str">
        <f t="shared" si="8"/>
        <v/>
      </c>
      <c r="E154" s="7"/>
      <c r="F154" s="7"/>
      <c r="G154" s="7"/>
      <c r="H154" s="7"/>
      <c r="I154" s="8" t="str">
        <f t="shared" si="9"/>
        <v/>
      </c>
      <c r="J154" s="8"/>
      <c r="K154" s="8"/>
      <c r="L154" s="8" t="str">
        <f>IF($A154="","",Settings!$B$3+SUMIFS($B$2:$B$495,$A$2:$A$495,"&lt;="&amp;$A154)-SUMIFS($J$2:$J$495,$A$2:$A$495,"&lt;="&amp;$A154)-SUMIFS('Weekly Purchases'!$N$2:$N$503,'Weekly Purchases'!$B$2:$B$503,"&lt;&gt;",'Weekly Purchases'!$B$2:$B$503,"&lt;="&amp;$A154)-SUMIFS('Weekly Purchases'!$N$2:$N$503,'Weekly Purchases'!$B$2:$B$503,"",'Weekly Purchases'!$A$2:$A$503,"&lt;="&amp;$A154))</f>
        <v/>
      </c>
      <c r="M154" s="8" t="str">
        <f>IF($A154="","",Settings!$B$4+SUMIFS($C$2:$C$495,$A$2:$A$495,"&lt;="&amp;$A154)-SUMIFS($K$2:$K$495,$A$2:$A$495,"&lt;="&amp;$A154)-SUMIFS('Weekly Purchases'!$O$2:$O$503,'Weekly Purchases'!$B$2:$B$503,"&lt;&gt;",'Weekly Purchases'!$B$2:$B$503,"&lt;="&amp;$A154)-SUMIFS('Weekly Purchases'!$O$2:$O$503,'Weekly Purchases'!$B$2:$B$503,"",'Weekly Purchases'!$A$2:$A$503,"&lt;="&amp;$A154))</f>
        <v/>
      </c>
      <c r="N154" s="8" t="str">
        <f t="shared" si="10"/>
        <v/>
      </c>
      <c r="O154" s="8" t="str">
        <f t="shared" si="11"/>
        <v/>
      </c>
      <c r="P154" s="4"/>
    </row>
    <row r="155" spans="1:16">
      <c r="A155" s="6"/>
      <c r="B155" s="7"/>
      <c r="C155" s="7"/>
      <c r="D155" s="8" t="str">
        <f t="shared" si="8"/>
        <v/>
      </c>
      <c r="E155" s="7"/>
      <c r="F155" s="7"/>
      <c r="G155" s="7"/>
      <c r="H155" s="7"/>
      <c r="I155" s="8" t="str">
        <f t="shared" si="9"/>
        <v/>
      </c>
      <c r="J155" s="8"/>
      <c r="K155" s="8"/>
      <c r="L155" s="8" t="str">
        <f>IF($A155="","",Settings!$B$3+SUMIFS($B$2:$B$495,$A$2:$A$495,"&lt;="&amp;$A155)-SUMIFS($J$2:$J$495,$A$2:$A$495,"&lt;="&amp;$A155)-SUMIFS('Weekly Purchases'!$N$2:$N$503,'Weekly Purchases'!$B$2:$B$503,"&lt;&gt;",'Weekly Purchases'!$B$2:$B$503,"&lt;="&amp;$A155)-SUMIFS('Weekly Purchases'!$N$2:$N$503,'Weekly Purchases'!$B$2:$B$503,"",'Weekly Purchases'!$A$2:$A$503,"&lt;="&amp;$A155))</f>
        <v/>
      </c>
      <c r="M155" s="8" t="str">
        <f>IF($A155="","",Settings!$B$4+SUMIFS($C$2:$C$495,$A$2:$A$495,"&lt;="&amp;$A155)-SUMIFS($K$2:$K$495,$A$2:$A$495,"&lt;="&amp;$A155)-SUMIFS('Weekly Purchases'!$O$2:$O$503,'Weekly Purchases'!$B$2:$B$503,"&lt;&gt;",'Weekly Purchases'!$B$2:$B$503,"&lt;="&amp;$A155)-SUMIFS('Weekly Purchases'!$O$2:$O$503,'Weekly Purchases'!$B$2:$B$503,"",'Weekly Purchases'!$A$2:$A$503,"&lt;="&amp;$A155))</f>
        <v/>
      </c>
      <c r="N155" s="8" t="str">
        <f t="shared" si="10"/>
        <v/>
      </c>
      <c r="O155" s="8" t="str">
        <f t="shared" si="11"/>
        <v/>
      </c>
      <c r="P155" s="4"/>
    </row>
    <row r="156" spans="1:16">
      <c r="A156" s="6"/>
      <c r="B156" s="7"/>
      <c r="C156" s="7"/>
      <c r="D156" s="8" t="str">
        <f t="shared" si="8"/>
        <v/>
      </c>
      <c r="E156" s="7"/>
      <c r="F156" s="7"/>
      <c r="G156" s="7"/>
      <c r="H156" s="7"/>
      <c r="I156" s="8" t="str">
        <f t="shared" si="9"/>
        <v/>
      </c>
      <c r="J156" s="8"/>
      <c r="K156" s="8"/>
      <c r="L156" s="8" t="str">
        <f>IF($A156="","",Settings!$B$3+SUMIFS($B$2:$B$495,$A$2:$A$495,"&lt;="&amp;$A156)-SUMIFS($J$2:$J$495,$A$2:$A$495,"&lt;="&amp;$A156)-SUMIFS('Weekly Purchases'!$N$2:$N$503,'Weekly Purchases'!$B$2:$B$503,"&lt;&gt;",'Weekly Purchases'!$B$2:$B$503,"&lt;="&amp;$A156)-SUMIFS('Weekly Purchases'!$N$2:$N$503,'Weekly Purchases'!$B$2:$B$503,"",'Weekly Purchases'!$A$2:$A$503,"&lt;="&amp;$A156))</f>
        <v/>
      </c>
      <c r="M156" s="8" t="str">
        <f>IF($A156="","",Settings!$B$4+SUMIFS($C$2:$C$495,$A$2:$A$495,"&lt;="&amp;$A156)-SUMIFS($K$2:$K$495,$A$2:$A$495,"&lt;="&amp;$A156)-SUMIFS('Weekly Purchases'!$O$2:$O$503,'Weekly Purchases'!$B$2:$B$503,"&lt;&gt;",'Weekly Purchases'!$B$2:$B$503,"&lt;="&amp;$A156)-SUMIFS('Weekly Purchases'!$O$2:$O$503,'Weekly Purchases'!$B$2:$B$503,"",'Weekly Purchases'!$A$2:$A$503,"&lt;="&amp;$A156))</f>
        <v/>
      </c>
      <c r="N156" s="8" t="str">
        <f t="shared" si="10"/>
        <v/>
      </c>
      <c r="O156" s="8" t="str">
        <f t="shared" si="11"/>
        <v/>
      </c>
      <c r="P156" s="4"/>
    </row>
    <row r="157" spans="1:16">
      <c r="A157" s="6"/>
      <c r="B157" s="7"/>
      <c r="C157" s="7"/>
      <c r="D157" s="8" t="str">
        <f t="shared" si="8"/>
        <v/>
      </c>
      <c r="E157" s="7"/>
      <c r="F157" s="7"/>
      <c r="G157" s="7"/>
      <c r="H157" s="7"/>
      <c r="I157" s="8" t="str">
        <f t="shared" si="9"/>
        <v/>
      </c>
      <c r="J157" s="8"/>
      <c r="K157" s="8"/>
      <c r="L157" s="8" t="str">
        <f>IF($A157="","",Settings!$B$3+SUMIFS($B$2:$B$495,$A$2:$A$495,"&lt;="&amp;$A157)-SUMIFS($J$2:$J$495,$A$2:$A$495,"&lt;="&amp;$A157)-SUMIFS('Weekly Purchases'!$N$2:$N$503,'Weekly Purchases'!$B$2:$B$503,"&lt;&gt;",'Weekly Purchases'!$B$2:$B$503,"&lt;="&amp;$A157)-SUMIFS('Weekly Purchases'!$N$2:$N$503,'Weekly Purchases'!$B$2:$B$503,"",'Weekly Purchases'!$A$2:$A$503,"&lt;="&amp;$A157))</f>
        <v/>
      </c>
      <c r="M157" s="8" t="str">
        <f>IF($A157="","",Settings!$B$4+SUMIFS($C$2:$C$495,$A$2:$A$495,"&lt;="&amp;$A157)-SUMIFS($K$2:$K$495,$A$2:$A$495,"&lt;="&amp;$A157)-SUMIFS('Weekly Purchases'!$O$2:$O$503,'Weekly Purchases'!$B$2:$B$503,"&lt;&gt;",'Weekly Purchases'!$B$2:$B$503,"&lt;="&amp;$A157)-SUMIFS('Weekly Purchases'!$O$2:$O$503,'Weekly Purchases'!$B$2:$B$503,"",'Weekly Purchases'!$A$2:$A$503,"&lt;="&amp;$A157))</f>
        <v/>
      </c>
      <c r="N157" s="8" t="str">
        <f t="shared" si="10"/>
        <v/>
      </c>
      <c r="O157" s="8" t="str">
        <f t="shared" si="11"/>
        <v/>
      </c>
      <c r="P157" s="4"/>
    </row>
    <row r="158" spans="1:16">
      <c r="A158" s="6"/>
      <c r="B158" s="7"/>
      <c r="C158" s="7"/>
      <c r="D158" s="8" t="str">
        <f t="shared" si="8"/>
        <v/>
      </c>
      <c r="E158" s="7"/>
      <c r="F158" s="7"/>
      <c r="G158" s="7"/>
      <c r="H158" s="7"/>
      <c r="I158" s="8" t="str">
        <f t="shared" si="9"/>
        <v/>
      </c>
      <c r="J158" s="8"/>
      <c r="K158" s="8"/>
      <c r="L158" s="8" t="str">
        <f>IF($A158="","",Settings!$B$3+SUMIFS($B$2:$B$495,$A$2:$A$495,"&lt;="&amp;$A158)-SUMIFS($J$2:$J$495,$A$2:$A$495,"&lt;="&amp;$A158)-SUMIFS('Weekly Purchases'!$N$2:$N$503,'Weekly Purchases'!$B$2:$B$503,"&lt;&gt;",'Weekly Purchases'!$B$2:$B$503,"&lt;="&amp;$A158)-SUMIFS('Weekly Purchases'!$N$2:$N$503,'Weekly Purchases'!$B$2:$B$503,"",'Weekly Purchases'!$A$2:$A$503,"&lt;="&amp;$A158))</f>
        <v/>
      </c>
      <c r="M158" s="8" t="str">
        <f>IF($A158="","",Settings!$B$4+SUMIFS($C$2:$C$495,$A$2:$A$495,"&lt;="&amp;$A158)-SUMIFS($K$2:$K$495,$A$2:$A$495,"&lt;="&amp;$A158)-SUMIFS('Weekly Purchases'!$O$2:$O$503,'Weekly Purchases'!$B$2:$B$503,"&lt;&gt;",'Weekly Purchases'!$B$2:$B$503,"&lt;="&amp;$A158)-SUMIFS('Weekly Purchases'!$O$2:$O$503,'Weekly Purchases'!$B$2:$B$503,"",'Weekly Purchases'!$A$2:$A$503,"&lt;="&amp;$A158))</f>
        <v/>
      </c>
      <c r="N158" s="8" t="str">
        <f t="shared" si="10"/>
        <v/>
      </c>
      <c r="O158" s="8" t="str">
        <f t="shared" si="11"/>
        <v/>
      </c>
      <c r="P158" s="4"/>
    </row>
    <row r="159" spans="1:16">
      <c r="A159" s="6"/>
      <c r="B159" s="7"/>
      <c r="C159" s="7"/>
      <c r="D159" s="8" t="str">
        <f t="shared" si="8"/>
        <v/>
      </c>
      <c r="E159" s="7"/>
      <c r="F159" s="7"/>
      <c r="G159" s="7"/>
      <c r="H159" s="7"/>
      <c r="I159" s="8" t="str">
        <f t="shared" si="9"/>
        <v/>
      </c>
      <c r="J159" s="8"/>
      <c r="K159" s="8"/>
      <c r="L159" s="8" t="str">
        <f>IF($A159="","",Settings!$B$3+SUMIFS($B$2:$B$495,$A$2:$A$495,"&lt;="&amp;$A159)-SUMIFS($J$2:$J$495,$A$2:$A$495,"&lt;="&amp;$A159)-SUMIFS('Weekly Purchases'!$N$2:$N$503,'Weekly Purchases'!$B$2:$B$503,"&lt;&gt;",'Weekly Purchases'!$B$2:$B$503,"&lt;="&amp;$A159)-SUMIFS('Weekly Purchases'!$N$2:$N$503,'Weekly Purchases'!$B$2:$B$503,"",'Weekly Purchases'!$A$2:$A$503,"&lt;="&amp;$A159))</f>
        <v/>
      </c>
      <c r="M159" s="8" t="str">
        <f>IF($A159="","",Settings!$B$4+SUMIFS($C$2:$C$495,$A$2:$A$495,"&lt;="&amp;$A159)-SUMIFS($K$2:$K$495,$A$2:$A$495,"&lt;="&amp;$A159)-SUMIFS('Weekly Purchases'!$O$2:$O$503,'Weekly Purchases'!$B$2:$B$503,"&lt;&gt;",'Weekly Purchases'!$B$2:$B$503,"&lt;="&amp;$A159)-SUMIFS('Weekly Purchases'!$O$2:$O$503,'Weekly Purchases'!$B$2:$B$503,"",'Weekly Purchases'!$A$2:$A$503,"&lt;="&amp;$A159))</f>
        <v/>
      </c>
      <c r="N159" s="8" t="str">
        <f t="shared" si="10"/>
        <v/>
      </c>
      <c r="O159" s="8" t="str">
        <f t="shared" si="11"/>
        <v/>
      </c>
      <c r="P159" s="4"/>
    </row>
    <row r="160" spans="1:16">
      <c r="A160" s="6"/>
      <c r="B160" s="7"/>
      <c r="C160" s="7"/>
      <c r="D160" s="8" t="str">
        <f t="shared" si="8"/>
        <v/>
      </c>
      <c r="E160" s="7"/>
      <c r="F160" s="7"/>
      <c r="G160" s="7"/>
      <c r="H160" s="7"/>
      <c r="I160" s="8" t="str">
        <f t="shared" si="9"/>
        <v/>
      </c>
      <c r="J160" s="8"/>
      <c r="K160" s="8"/>
      <c r="L160" s="8" t="str">
        <f>IF($A160="","",Settings!$B$3+SUMIFS($B$2:$B$495,$A$2:$A$495,"&lt;="&amp;$A160)-SUMIFS($J$2:$J$495,$A$2:$A$495,"&lt;="&amp;$A160)-SUMIFS('Weekly Purchases'!$N$2:$N$503,'Weekly Purchases'!$B$2:$B$503,"&lt;&gt;",'Weekly Purchases'!$B$2:$B$503,"&lt;="&amp;$A160)-SUMIFS('Weekly Purchases'!$N$2:$N$503,'Weekly Purchases'!$B$2:$B$503,"",'Weekly Purchases'!$A$2:$A$503,"&lt;="&amp;$A160))</f>
        <v/>
      </c>
      <c r="M160" s="8" t="str">
        <f>IF($A160="","",Settings!$B$4+SUMIFS($C$2:$C$495,$A$2:$A$495,"&lt;="&amp;$A160)-SUMIFS($K$2:$K$495,$A$2:$A$495,"&lt;="&amp;$A160)-SUMIFS('Weekly Purchases'!$O$2:$O$503,'Weekly Purchases'!$B$2:$B$503,"&lt;&gt;",'Weekly Purchases'!$B$2:$B$503,"&lt;="&amp;$A160)-SUMIFS('Weekly Purchases'!$O$2:$O$503,'Weekly Purchases'!$B$2:$B$503,"",'Weekly Purchases'!$A$2:$A$503,"&lt;="&amp;$A160))</f>
        <v/>
      </c>
      <c r="N160" s="8" t="str">
        <f t="shared" si="10"/>
        <v/>
      </c>
      <c r="O160" s="8" t="str">
        <f t="shared" si="11"/>
        <v/>
      </c>
      <c r="P160" s="4"/>
    </row>
    <row r="161" spans="1:16">
      <c r="A161" s="6"/>
      <c r="B161" s="7"/>
      <c r="C161" s="7"/>
      <c r="D161" s="8" t="str">
        <f t="shared" si="8"/>
        <v/>
      </c>
      <c r="E161" s="7"/>
      <c r="F161" s="7"/>
      <c r="G161" s="7"/>
      <c r="H161" s="7"/>
      <c r="I161" s="8" t="str">
        <f t="shared" si="9"/>
        <v/>
      </c>
      <c r="J161" s="8"/>
      <c r="K161" s="8"/>
      <c r="L161" s="8" t="str">
        <f>IF($A161="","",Settings!$B$3+SUMIFS($B$2:$B$495,$A$2:$A$495,"&lt;="&amp;$A161)-SUMIFS($J$2:$J$495,$A$2:$A$495,"&lt;="&amp;$A161)-SUMIFS('Weekly Purchases'!$N$2:$N$503,'Weekly Purchases'!$B$2:$B$503,"&lt;&gt;",'Weekly Purchases'!$B$2:$B$503,"&lt;="&amp;$A161)-SUMIFS('Weekly Purchases'!$N$2:$N$503,'Weekly Purchases'!$B$2:$B$503,"",'Weekly Purchases'!$A$2:$A$503,"&lt;="&amp;$A161))</f>
        <v/>
      </c>
      <c r="M161" s="8" t="str">
        <f>IF($A161="","",Settings!$B$4+SUMIFS($C$2:$C$495,$A$2:$A$495,"&lt;="&amp;$A161)-SUMIFS($K$2:$K$495,$A$2:$A$495,"&lt;="&amp;$A161)-SUMIFS('Weekly Purchases'!$O$2:$O$503,'Weekly Purchases'!$B$2:$B$503,"&lt;&gt;",'Weekly Purchases'!$B$2:$B$503,"&lt;="&amp;$A161)-SUMIFS('Weekly Purchases'!$O$2:$O$503,'Weekly Purchases'!$B$2:$B$503,"",'Weekly Purchases'!$A$2:$A$503,"&lt;="&amp;$A161))</f>
        <v/>
      </c>
      <c r="N161" s="8" t="str">
        <f t="shared" si="10"/>
        <v/>
      </c>
      <c r="O161" s="8" t="str">
        <f t="shared" si="11"/>
        <v/>
      </c>
      <c r="P161" s="4"/>
    </row>
    <row r="162" spans="1:16">
      <c r="A162" s="6"/>
      <c r="B162" s="7"/>
      <c r="C162" s="7"/>
      <c r="D162" s="8" t="str">
        <f t="shared" si="8"/>
        <v/>
      </c>
      <c r="E162" s="7"/>
      <c r="F162" s="7"/>
      <c r="G162" s="7"/>
      <c r="H162" s="7"/>
      <c r="I162" s="8" t="str">
        <f t="shared" si="9"/>
        <v/>
      </c>
      <c r="J162" s="8"/>
      <c r="K162" s="8"/>
      <c r="L162" s="8" t="str">
        <f>IF($A162="","",Settings!$B$3+SUMIFS($B$2:$B$495,$A$2:$A$495,"&lt;="&amp;$A162)-SUMIFS($J$2:$J$495,$A$2:$A$495,"&lt;="&amp;$A162)-SUMIFS('Weekly Purchases'!$N$2:$N$503,'Weekly Purchases'!$B$2:$B$503,"&lt;&gt;",'Weekly Purchases'!$B$2:$B$503,"&lt;="&amp;$A162)-SUMIFS('Weekly Purchases'!$N$2:$N$503,'Weekly Purchases'!$B$2:$B$503,"",'Weekly Purchases'!$A$2:$A$503,"&lt;="&amp;$A162))</f>
        <v/>
      </c>
      <c r="M162" s="8" t="str">
        <f>IF($A162="","",Settings!$B$4+SUMIFS($C$2:$C$495,$A$2:$A$495,"&lt;="&amp;$A162)-SUMIFS($K$2:$K$495,$A$2:$A$495,"&lt;="&amp;$A162)-SUMIFS('Weekly Purchases'!$O$2:$O$503,'Weekly Purchases'!$B$2:$B$503,"&lt;&gt;",'Weekly Purchases'!$B$2:$B$503,"&lt;="&amp;$A162)-SUMIFS('Weekly Purchases'!$O$2:$O$503,'Weekly Purchases'!$B$2:$B$503,"",'Weekly Purchases'!$A$2:$A$503,"&lt;="&amp;$A162))</f>
        <v/>
      </c>
      <c r="N162" s="8" t="str">
        <f t="shared" si="10"/>
        <v/>
      </c>
      <c r="O162" s="8" t="str">
        <f t="shared" si="11"/>
        <v/>
      </c>
      <c r="P162" s="4"/>
    </row>
    <row r="163" spans="1:16">
      <c r="A163" s="6"/>
      <c r="B163" s="7"/>
      <c r="C163" s="7"/>
      <c r="D163" s="8" t="str">
        <f t="shared" si="8"/>
        <v/>
      </c>
      <c r="E163" s="7"/>
      <c r="F163" s="7"/>
      <c r="G163" s="7"/>
      <c r="H163" s="7"/>
      <c r="I163" s="8" t="str">
        <f t="shared" si="9"/>
        <v/>
      </c>
      <c r="J163" s="8"/>
      <c r="K163" s="8"/>
      <c r="L163" s="8" t="str">
        <f>IF($A163="","",Settings!$B$3+SUMIFS($B$2:$B$495,$A$2:$A$495,"&lt;="&amp;$A163)-SUMIFS($J$2:$J$495,$A$2:$A$495,"&lt;="&amp;$A163)-SUMIFS('Weekly Purchases'!$N$2:$N$503,'Weekly Purchases'!$B$2:$B$503,"&lt;&gt;",'Weekly Purchases'!$B$2:$B$503,"&lt;="&amp;$A163)-SUMIFS('Weekly Purchases'!$N$2:$N$503,'Weekly Purchases'!$B$2:$B$503,"",'Weekly Purchases'!$A$2:$A$503,"&lt;="&amp;$A163))</f>
        <v/>
      </c>
      <c r="M163" s="8" t="str">
        <f>IF($A163="","",Settings!$B$4+SUMIFS($C$2:$C$495,$A$2:$A$495,"&lt;="&amp;$A163)-SUMIFS($K$2:$K$495,$A$2:$A$495,"&lt;="&amp;$A163)-SUMIFS('Weekly Purchases'!$O$2:$O$503,'Weekly Purchases'!$B$2:$B$503,"&lt;&gt;",'Weekly Purchases'!$B$2:$B$503,"&lt;="&amp;$A163)-SUMIFS('Weekly Purchases'!$O$2:$O$503,'Weekly Purchases'!$B$2:$B$503,"",'Weekly Purchases'!$A$2:$A$503,"&lt;="&amp;$A163))</f>
        <v/>
      </c>
      <c r="N163" s="8" t="str">
        <f t="shared" si="10"/>
        <v/>
      </c>
      <c r="O163" s="8" t="str">
        <f t="shared" si="11"/>
        <v/>
      </c>
      <c r="P163" s="4"/>
    </row>
    <row r="164" spans="1:16">
      <c r="A164" s="6"/>
      <c r="B164" s="7"/>
      <c r="C164" s="7"/>
      <c r="D164" s="8" t="str">
        <f t="shared" si="8"/>
        <v/>
      </c>
      <c r="E164" s="7"/>
      <c r="F164" s="7"/>
      <c r="G164" s="7"/>
      <c r="H164" s="7"/>
      <c r="I164" s="8" t="str">
        <f t="shared" si="9"/>
        <v/>
      </c>
      <c r="J164" s="8"/>
      <c r="K164" s="8"/>
      <c r="L164" s="8" t="str">
        <f>IF($A164="","",Settings!$B$3+SUMIFS($B$2:$B$495,$A$2:$A$495,"&lt;="&amp;$A164)-SUMIFS($J$2:$J$495,$A$2:$A$495,"&lt;="&amp;$A164)-SUMIFS('Weekly Purchases'!$N$2:$N$503,'Weekly Purchases'!$B$2:$B$503,"&lt;&gt;",'Weekly Purchases'!$B$2:$B$503,"&lt;="&amp;$A164)-SUMIFS('Weekly Purchases'!$N$2:$N$503,'Weekly Purchases'!$B$2:$B$503,"",'Weekly Purchases'!$A$2:$A$503,"&lt;="&amp;$A164))</f>
        <v/>
      </c>
      <c r="M164" s="8" t="str">
        <f>IF($A164="","",Settings!$B$4+SUMIFS($C$2:$C$495,$A$2:$A$495,"&lt;="&amp;$A164)-SUMIFS($K$2:$K$495,$A$2:$A$495,"&lt;="&amp;$A164)-SUMIFS('Weekly Purchases'!$O$2:$O$503,'Weekly Purchases'!$B$2:$B$503,"&lt;&gt;",'Weekly Purchases'!$B$2:$B$503,"&lt;="&amp;$A164)-SUMIFS('Weekly Purchases'!$O$2:$O$503,'Weekly Purchases'!$B$2:$B$503,"",'Weekly Purchases'!$A$2:$A$503,"&lt;="&amp;$A164))</f>
        <v/>
      </c>
      <c r="N164" s="8" t="str">
        <f t="shared" si="10"/>
        <v/>
      </c>
      <c r="O164" s="8" t="str">
        <f t="shared" si="11"/>
        <v/>
      </c>
      <c r="P164" s="4"/>
    </row>
    <row r="165" spans="1:16">
      <c r="A165" s="6"/>
      <c r="B165" s="7"/>
      <c r="C165" s="7"/>
      <c r="D165" s="8" t="str">
        <f t="shared" si="8"/>
        <v/>
      </c>
      <c r="E165" s="7"/>
      <c r="F165" s="7"/>
      <c r="G165" s="7"/>
      <c r="H165" s="7"/>
      <c r="I165" s="8" t="str">
        <f t="shared" si="9"/>
        <v/>
      </c>
      <c r="J165" s="8"/>
      <c r="K165" s="8"/>
      <c r="L165" s="8" t="str">
        <f>IF($A165="","",Settings!$B$3+SUMIFS($B$2:$B$495,$A$2:$A$495,"&lt;="&amp;$A165)-SUMIFS($J$2:$J$495,$A$2:$A$495,"&lt;="&amp;$A165)-SUMIFS('Weekly Purchases'!$N$2:$N$503,'Weekly Purchases'!$B$2:$B$503,"&lt;&gt;",'Weekly Purchases'!$B$2:$B$503,"&lt;="&amp;$A165)-SUMIFS('Weekly Purchases'!$N$2:$N$503,'Weekly Purchases'!$B$2:$B$503,"",'Weekly Purchases'!$A$2:$A$503,"&lt;="&amp;$A165))</f>
        <v/>
      </c>
      <c r="M165" s="8" t="str">
        <f>IF($A165="","",Settings!$B$4+SUMIFS($C$2:$C$495,$A$2:$A$495,"&lt;="&amp;$A165)-SUMIFS($K$2:$K$495,$A$2:$A$495,"&lt;="&amp;$A165)-SUMIFS('Weekly Purchases'!$O$2:$O$503,'Weekly Purchases'!$B$2:$B$503,"&lt;&gt;",'Weekly Purchases'!$B$2:$B$503,"&lt;="&amp;$A165)-SUMIFS('Weekly Purchases'!$O$2:$O$503,'Weekly Purchases'!$B$2:$B$503,"",'Weekly Purchases'!$A$2:$A$503,"&lt;="&amp;$A165))</f>
        <v/>
      </c>
      <c r="N165" s="8" t="str">
        <f t="shared" si="10"/>
        <v/>
      </c>
      <c r="O165" s="8" t="str">
        <f t="shared" si="11"/>
        <v/>
      </c>
      <c r="P165" s="4"/>
    </row>
    <row r="166" spans="1:16">
      <c r="A166" s="6"/>
      <c r="B166" s="7"/>
      <c r="C166" s="7"/>
      <c r="D166" s="8" t="str">
        <f t="shared" si="8"/>
        <v/>
      </c>
      <c r="E166" s="7"/>
      <c r="F166" s="7"/>
      <c r="G166" s="7"/>
      <c r="H166" s="7"/>
      <c r="I166" s="8" t="str">
        <f t="shared" si="9"/>
        <v/>
      </c>
      <c r="J166" s="8"/>
      <c r="K166" s="8"/>
      <c r="L166" s="8" t="str">
        <f>IF($A166="","",Settings!$B$3+SUMIFS($B$2:$B$495,$A$2:$A$495,"&lt;="&amp;$A166)-SUMIFS($J$2:$J$495,$A$2:$A$495,"&lt;="&amp;$A166)-SUMIFS('Weekly Purchases'!$N$2:$N$503,'Weekly Purchases'!$B$2:$B$503,"&lt;&gt;",'Weekly Purchases'!$B$2:$B$503,"&lt;="&amp;$A166)-SUMIFS('Weekly Purchases'!$N$2:$N$503,'Weekly Purchases'!$B$2:$B$503,"",'Weekly Purchases'!$A$2:$A$503,"&lt;="&amp;$A166))</f>
        <v/>
      </c>
      <c r="M166" s="8" t="str">
        <f>IF($A166="","",Settings!$B$4+SUMIFS($C$2:$C$495,$A$2:$A$495,"&lt;="&amp;$A166)-SUMIFS($K$2:$K$495,$A$2:$A$495,"&lt;="&amp;$A166)-SUMIFS('Weekly Purchases'!$O$2:$O$503,'Weekly Purchases'!$B$2:$B$503,"&lt;&gt;",'Weekly Purchases'!$B$2:$B$503,"&lt;="&amp;$A166)-SUMIFS('Weekly Purchases'!$O$2:$O$503,'Weekly Purchases'!$B$2:$B$503,"",'Weekly Purchases'!$A$2:$A$503,"&lt;="&amp;$A166))</f>
        <v/>
      </c>
      <c r="N166" s="8" t="str">
        <f t="shared" si="10"/>
        <v/>
      </c>
      <c r="O166" s="8" t="str">
        <f t="shared" si="11"/>
        <v/>
      </c>
      <c r="P166" s="4"/>
    </row>
    <row r="167" spans="1:16">
      <c r="A167" s="6"/>
      <c r="B167" s="7"/>
      <c r="C167" s="7"/>
      <c r="D167" s="8" t="str">
        <f t="shared" si="8"/>
        <v/>
      </c>
      <c r="E167" s="7"/>
      <c r="F167" s="7"/>
      <c r="G167" s="7"/>
      <c r="H167" s="7"/>
      <c r="I167" s="8" t="str">
        <f t="shared" si="9"/>
        <v/>
      </c>
      <c r="J167" s="8"/>
      <c r="K167" s="8"/>
      <c r="L167" s="8" t="str">
        <f>IF($A167="","",Settings!$B$3+SUMIFS($B$2:$B$495,$A$2:$A$495,"&lt;="&amp;$A167)-SUMIFS($J$2:$J$495,$A$2:$A$495,"&lt;="&amp;$A167)-SUMIFS('Weekly Purchases'!$N$2:$N$503,'Weekly Purchases'!$B$2:$B$503,"&lt;&gt;",'Weekly Purchases'!$B$2:$B$503,"&lt;="&amp;$A167)-SUMIFS('Weekly Purchases'!$N$2:$N$503,'Weekly Purchases'!$B$2:$B$503,"",'Weekly Purchases'!$A$2:$A$503,"&lt;="&amp;$A167))</f>
        <v/>
      </c>
      <c r="M167" s="8" t="str">
        <f>IF($A167="","",Settings!$B$4+SUMIFS($C$2:$C$495,$A$2:$A$495,"&lt;="&amp;$A167)-SUMIFS($K$2:$K$495,$A$2:$A$495,"&lt;="&amp;$A167)-SUMIFS('Weekly Purchases'!$O$2:$O$503,'Weekly Purchases'!$B$2:$B$503,"&lt;&gt;",'Weekly Purchases'!$B$2:$B$503,"&lt;="&amp;$A167)-SUMIFS('Weekly Purchases'!$O$2:$O$503,'Weekly Purchases'!$B$2:$B$503,"",'Weekly Purchases'!$A$2:$A$503,"&lt;="&amp;$A167))</f>
        <v/>
      </c>
      <c r="N167" s="8" t="str">
        <f t="shared" si="10"/>
        <v/>
      </c>
      <c r="O167" s="8" t="str">
        <f t="shared" si="11"/>
        <v/>
      </c>
      <c r="P167" s="4"/>
    </row>
    <row r="168" spans="1:16">
      <c r="A168" s="6"/>
      <c r="B168" s="7"/>
      <c r="C168" s="7"/>
      <c r="D168" s="8" t="str">
        <f t="shared" si="8"/>
        <v/>
      </c>
      <c r="E168" s="7"/>
      <c r="F168" s="7"/>
      <c r="G168" s="7"/>
      <c r="H168" s="7"/>
      <c r="I168" s="8" t="str">
        <f t="shared" si="9"/>
        <v/>
      </c>
      <c r="J168" s="8"/>
      <c r="K168" s="8"/>
      <c r="L168" s="8" t="str">
        <f>IF($A168="","",Settings!$B$3+SUMIFS($B$2:$B$495,$A$2:$A$495,"&lt;="&amp;$A168)-SUMIFS($J$2:$J$495,$A$2:$A$495,"&lt;="&amp;$A168)-SUMIFS('Weekly Purchases'!$N$2:$N$503,'Weekly Purchases'!$B$2:$B$503,"&lt;&gt;",'Weekly Purchases'!$B$2:$B$503,"&lt;="&amp;$A168)-SUMIFS('Weekly Purchases'!$N$2:$N$503,'Weekly Purchases'!$B$2:$B$503,"",'Weekly Purchases'!$A$2:$A$503,"&lt;="&amp;$A168))</f>
        <v/>
      </c>
      <c r="M168" s="8" t="str">
        <f>IF($A168="","",Settings!$B$4+SUMIFS($C$2:$C$495,$A$2:$A$495,"&lt;="&amp;$A168)-SUMIFS($K$2:$K$495,$A$2:$A$495,"&lt;="&amp;$A168)-SUMIFS('Weekly Purchases'!$O$2:$O$503,'Weekly Purchases'!$B$2:$B$503,"&lt;&gt;",'Weekly Purchases'!$B$2:$B$503,"&lt;="&amp;$A168)-SUMIFS('Weekly Purchases'!$O$2:$O$503,'Weekly Purchases'!$B$2:$B$503,"",'Weekly Purchases'!$A$2:$A$503,"&lt;="&amp;$A168))</f>
        <v/>
      </c>
      <c r="N168" s="8" t="str">
        <f t="shared" si="10"/>
        <v/>
      </c>
      <c r="O168" s="8" t="str">
        <f t="shared" si="11"/>
        <v/>
      </c>
      <c r="P168" s="4"/>
    </row>
    <row r="169" spans="1:16">
      <c r="A169" s="6"/>
      <c r="B169" s="7"/>
      <c r="C169" s="7"/>
      <c r="D169" s="8" t="str">
        <f t="shared" si="8"/>
        <v/>
      </c>
      <c r="E169" s="7"/>
      <c r="F169" s="7"/>
      <c r="G169" s="7"/>
      <c r="H169" s="7"/>
      <c r="I169" s="8" t="str">
        <f t="shared" si="9"/>
        <v/>
      </c>
      <c r="J169" s="8"/>
      <c r="K169" s="8"/>
      <c r="L169" s="8" t="str">
        <f>IF($A169="","",Settings!$B$3+SUMIFS($B$2:$B$495,$A$2:$A$495,"&lt;="&amp;$A169)-SUMIFS($J$2:$J$495,$A$2:$A$495,"&lt;="&amp;$A169)-SUMIFS('Weekly Purchases'!$N$2:$N$503,'Weekly Purchases'!$B$2:$B$503,"&lt;&gt;",'Weekly Purchases'!$B$2:$B$503,"&lt;="&amp;$A169)-SUMIFS('Weekly Purchases'!$N$2:$N$503,'Weekly Purchases'!$B$2:$B$503,"",'Weekly Purchases'!$A$2:$A$503,"&lt;="&amp;$A169))</f>
        <v/>
      </c>
      <c r="M169" s="8" t="str">
        <f>IF($A169="","",Settings!$B$4+SUMIFS($C$2:$C$495,$A$2:$A$495,"&lt;="&amp;$A169)-SUMIFS($K$2:$K$495,$A$2:$A$495,"&lt;="&amp;$A169)-SUMIFS('Weekly Purchases'!$O$2:$O$503,'Weekly Purchases'!$B$2:$B$503,"&lt;&gt;",'Weekly Purchases'!$B$2:$B$503,"&lt;="&amp;$A169)-SUMIFS('Weekly Purchases'!$O$2:$O$503,'Weekly Purchases'!$B$2:$B$503,"",'Weekly Purchases'!$A$2:$A$503,"&lt;="&amp;$A169))</f>
        <v/>
      </c>
      <c r="N169" s="8" t="str">
        <f t="shared" si="10"/>
        <v/>
      </c>
      <c r="O169" s="8" t="str">
        <f t="shared" si="11"/>
        <v/>
      </c>
      <c r="P169" s="4"/>
    </row>
    <row r="170" spans="1:16">
      <c r="A170" s="6"/>
      <c r="B170" s="7"/>
      <c r="C170" s="7"/>
      <c r="D170" s="8" t="str">
        <f t="shared" si="8"/>
        <v/>
      </c>
      <c r="E170" s="7"/>
      <c r="F170" s="7"/>
      <c r="G170" s="7"/>
      <c r="H170" s="7"/>
      <c r="I170" s="8" t="str">
        <f t="shared" si="9"/>
        <v/>
      </c>
      <c r="J170" s="8"/>
      <c r="K170" s="8"/>
      <c r="L170" s="8" t="str">
        <f>IF($A170="","",Settings!$B$3+SUMIFS($B$2:$B$495,$A$2:$A$495,"&lt;="&amp;$A170)-SUMIFS($J$2:$J$495,$A$2:$A$495,"&lt;="&amp;$A170)-SUMIFS('Weekly Purchases'!$N$2:$N$503,'Weekly Purchases'!$B$2:$B$503,"&lt;&gt;",'Weekly Purchases'!$B$2:$B$503,"&lt;="&amp;$A170)-SUMIFS('Weekly Purchases'!$N$2:$N$503,'Weekly Purchases'!$B$2:$B$503,"",'Weekly Purchases'!$A$2:$A$503,"&lt;="&amp;$A170))</f>
        <v/>
      </c>
      <c r="M170" s="8" t="str">
        <f>IF($A170="","",Settings!$B$4+SUMIFS($C$2:$C$495,$A$2:$A$495,"&lt;="&amp;$A170)-SUMIFS($K$2:$K$495,$A$2:$A$495,"&lt;="&amp;$A170)-SUMIFS('Weekly Purchases'!$O$2:$O$503,'Weekly Purchases'!$B$2:$B$503,"&lt;&gt;",'Weekly Purchases'!$B$2:$B$503,"&lt;="&amp;$A170)-SUMIFS('Weekly Purchases'!$O$2:$O$503,'Weekly Purchases'!$B$2:$B$503,"",'Weekly Purchases'!$A$2:$A$503,"&lt;="&amp;$A170))</f>
        <v/>
      </c>
      <c r="N170" s="8" t="str">
        <f t="shared" si="10"/>
        <v/>
      </c>
      <c r="O170" s="8" t="str">
        <f t="shared" si="11"/>
        <v/>
      </c>
      <c r="P170" s="4"/>
    </row>
    <row r="171" spans="1:16">
      <c r="A171" s="6"/>
      <c r="B171" s="7"/>
      <c r="C171" s="7"/>
      <c r="D171" s="8" t="str">
        <f t="shared" si="8"/>
        <v/>
      </c>
      <c r="E171" s="7"/>
      <c r="F171" s="7"/>
      <c r="G171" s="7"/>
      <c r="H171" s="7"/>
      <c r="I171" s="8" t="str">
        <f t="shared" si="9"/>
        <v/>
      </c>
      <c r="J171" s="8"/>
      <c r="K171" s="8"/>
      <c r="L171" s="8" t="str">
        <f>IF($A171="","",Settings!$B$3+SUMIFS($B$2:$B$495,$A$2:$A$495,"&lt;="&amp;$A171)-SUMIFS($J$2:$J$495,$A$2:$A$495,"&lt;="&amp;$A171)-SUMIFS('Weekly Purchases'!$N$2:$N$503,'Weekly Purchases'!$B$2:$B$503,"&lt;&gt;",'Weekly Purchases'!$B$2:$B$503,"&lt;="&amp;$A171)-SUMIFS('Weekly Purchases'!$N$2:$N$503,'Weekly Purchases'!$B$2:$B$503,"",'Weekly Purchases'!$A$2:$A$503,"&lt;="&amp;$A171))</f>
        <v/>
      </c>
      <c r="M171" s="8" t="str">
        <f>IF($A171="","",Settings!$B$4+SUMIFS($C$2:$C$495,$A$2:$A$495,"&lt;="&amp;$A171)-SUMIFS($K$2:$K$495,$A$2:$A$495,"&lt;="&amp;$A171)-SUMIFS('Weekly Purchases'!$O$2:$O$503,'Weekly Purchases'!$B$2:$B$503,"&lt;&gt;",'Weekly Purchases'!$B$2:$B$503,"&lt;="&amp;$A171)-SUMIFS('Weekly Purchases'!$O$2:$O$503,'Weekly Purchases'!$B$2:$B$503,"",'Weekly Purchases'!$A$2:$A$503,"&lt;="&amp;$A171))</f>
        <v/>
      </c>
      <c r="N171" s="8" t="str">
        <f t="shared" si="10"/>
        <v/>
      </c>
      <c r="O171" s="8" t="str">
        <f t="shared" si="11"/>
        <v/>
      </c>
      <c r="P171" s="4"/>
    </row>
    <row r="172" spans="1:16">
      <c r="A172" s="6"/>
      <c r="B172" s="7"/>
      <c r="C172" s="7"/>
      <c r="D172" s="8" t="str">
        <f t="shared" si="8"/>
        <v/>
      </c>
      <c r="E172" s="7"/>
      <c r="F172" s="7"/>
      <c r="G172" s="7"/>
      <c r="H172" s="7"/>
      <c r="I172" s="8" t="str">
        <f t="shared" si="9"/>
        <v/>
      </c>
      <c r="J172" s="8"/>
      <c r="K172" s="8"/>
      <c r="L172" s="8" t="str">
        <f>IF($A172="","",Settings!$B$3+SUMIFS($B$2:$B$495,$A$2:$A$495,"&lt;="&amp;$A172)-SUMIFS($J$2:$J$495,$A$2:$A$495,"&lt;="&amp;$A172)-SUMIFS('Weekly Purchases'!$N$2:$N$503,'Weekly Purchases'!$B$2:$B$503,"&lt;&gt;",'Weekly Purchases'!$B$2:$B$503,"&lt;="&amp;$A172)-SUMIFS('Weekly Purchases'!$N$2:$N$503,'Weekly Purchases'!$B$2:$B$503,"",'Weekly Purchases'!$A$2:$A$503,"&lt;="&amp;$A172))</f>
        <v/>
      </c>
      <c r="M172" s="8" t="str">
        <f>IF($A172="","",Settings!$B$4+SUMIFS($C$2:$C$495,$A$2:$A$495,"&lt;="&amp;$A172)-SUMIFS($K$2:$K$495,$A$2:$A$495,"&lt;="&amp;$A172)-SUMIFS('Weekly Purchases'!$O$2:$O$503,'Weekly Purchases'!$B$2:$B$503,"&lt;&gt;",'Weekly Purchases'!$B$2:$B$503,"&lt;="&amp;$A172)-SUMIFS('Weekly Purchases'!$O$2:$O$503,'Weekly Purchases'!$B$2:$B$503,"",'Weekly Purchases'!$A$2:$A$503,"&lt;="&amp;$A172))</f>
        <v/>
      </c>
      <c r="N172" s="8" t="str">
        <f t="shared" si="10"/>
        <v/>
      </c>
      <c r="O172" s="8" t="str">
        <f t="shared" si="11"/>
        <v/>
      </c>
      <c r="P172" s="4"/>
    </row>
    <row r="173" spans="1:16">
      <c r="A173" s="6"/>
      <c r="B173" s="7"/>
      <c r="C173" s="7"/>
      <c r="D173" s="8" t="str">
        <f t="shared" si="8"/>
        <v/>
      </c>
      <c r="E173" s="7"/>
      <c r="F173" s="7"/>
      <c r="G173" s="7"/>
      <c r="H173" s="7"/>
      <c r="I173" s="8" t="str">
        <f t="shared" si="9"/>
        <v/>
      </c>
      <c r="J173" s="8"/>
      <c r="K173" s="8"/>
      <c r="L173" s="8" t="str">
        <f>IF($A173="","",Settings!$B$3+SUMIFS($B$2:$B$495,$A$2:$A$495,"&lt;="&amp;$A173)-SUMIFS($J$2:$J$495,$A$2:$A$495,"&lt;="&amp;$A173)-SUMIFS('Weekly Purchases'!$N$2:$N$503,'Weekly Purchases'!$B$2:$B$503,"&lt;&gt;",'Weekly Purchases'!$B$2:$B$503,"&lt;="&amp;$A173)-SUMIFS('Weekly Purchases'!$N$2:$N$503,'Weekly Purchases'!$B$2:$B$503,"",'Weekly Purchases'!$A$2:$A$503,"&lt;="&amp;$A173))</f>
        <v/>
      </c>
      <c r="M173" s="8" t="str">
        <f>IF($A173="","",Settings!$B$4+SUMIFS($C$2:$C$495,$A$2:$A$495,"&lt;="&amp;$A173)-SUMIFS($K$2:$K$495,$A$2:$A$495,"&lt;="&amp;$A173)-SUMIFS('Weekly Purchases'!$O$2:$O$503,'Weekly Purchases'!$B$2:$B$503,"&lt;&gt;",'Weekly Purchases'!$B$2:$B$503,"&lt;="&amp;$A173)-SUMIFS('Weekly Purchases'!$O$2:$O$503,'Weekly Purchases'!$B$2:$B$503,"",'Weekly Purchases'!$A$2:$A$503,"&lt;="&amp;$A173))</f>
        <v/>
      </c>
      <c r="N173" s="8" t="str">
        <f t="shared" si="10"/>
        <v/>
      </c>
      <c r="O173" s="8" t="str">
        <f t="shared" si="11"/>
        <v/>
      </c>
      <c r="P173" s="4"/>
    </row>
    <row r="174" spans="1:16">
      <c r="A174" s="6"/>
      <c r="B174" s="7"/>
      <c r="C174" s="7"/>
      <c r="D174" s="8" t="str">
        <f t="shared" si="8"/>
        <v/>
      </c>
      <c r="E174" s="7"/>
      <c r="F174" s="7"/>
      <c r="G174" s="7"/>
      <c r="H174" s="7"/>
      <c r="I174" s="8" t="str">
        <f t="shared" si="9"/>
        <v/>
      </c>
      <c r="J174" s="8"/>
      <c r="K174" s="8"/>
      <c r="L174" s="8" t="str">
        <f>IF($A174="","",Settings!$B$3+SUMIFS($B$2:$B$495,$A$2:$A$495,"&lt;="&amp;$A174)-SUMIFS($J$2:$J$495,$A$2:$A$495,"&lt;="&amp;$A174)-SUMIFS('Weekly Purchases'!$N$2:$N$503,'Weekly Purchases'!$B$2:$B$503,"&lt;&gt;",'Weekly Purchases'!$B$2:$B$503,"&lt;="&amp;$A174)-SUMIFS('Weekly Purchases'!$N$2:$N$503,'Weekly Purchases'!$B$2:$B$503,"",'Weekly Purchases'!$A$2:$A$503,"&lt;="&amp;$A174))</f>
        <v/>
      </c>
      <c r="M174" s="8" t="str">
        <f>IF($A174="","",Settings!$B$4+SUMIFS($C$2:$C$495,$A$2:$A$495,"&lt;="&amp;$A174)-SUMIFS($K$2:$K$495,$A$2:$A$495,"&lt;="&amp;$A174)-SUMIFS('Weekly Purchases'!$O$2:$O$503,'Weekly Purchases'!$B$2:$B$503,"&lt;&gt;",'Weekly Purchases'!$B$2:$B$503,"&lt;="&amp;$A174)-SUMIFS('Weekly Purchases'!$O$2:$O$503,'Weekly Purchases'!$B$2:$B$503,"",'Weekly Purchases'!$A$2:$A$503,"&lt;="&amp;$A174))</f>
        <v/>
      </c>
      <c r="N174" s="8" t="str">
        <f t="shared" si="10"/>
        <v/>
      </c>
      <c r="O174" s="8" t="str">
        <f t="shared" si="11"/>
        <v/>
      </c>
      <c r="P174" s="4"/>
    </row>
    <row r="175" spans="1:16">
      <c r="A175" s="6"/>
      <c r="B175" s="7"/>
      <c r="C175" s="7"/>
      <c r="D175" s="8" t="str">
        <f t="shared" si="8"/>
        <v/>
      </c>
      <c r="E175" s="7"/>
      <c r="F175" s="7"/>
      <c r="G175" s="7"/>
      <c r="H175" s="7"/>
      <c r="I175" s="8" t="str">
        <f t="shared" si="9"/>
        <v/>
      </c>
      <c r="J175" s="8"/>
      <c r="K175" s="8"/>
      <c r="L175" s="8" t="str">
        <f>IF($A175="","",Settings!$B$3+SUMIFS($B$2:$B$495,$A$2:$A$495,"&lt;="&amp;$A175)-SUMIFS($J$2:$J$495,$A$2:$A$495,"&lt;="&amp;$A175)-SUMIFS('Weekly Purchases'!$N$2:$N$503,'Weekly Purchases'!$B$2:$B$503,"&lt;&gt;",'Weekly Purchases'!$B$2:$B$503,"&lt;="&amp;$A175)-SUMIFS('Weekly Purchases'!$N$2:$N$503,'Weekly Purchases'!$B$2:$B$503,"",'Weekly Purchases'!$A$2:$A$503,"&lt;="&amp;$A175))</f>
        <v/>
      </c>
      <c r="M175" s="8" t="str">
        <f>IF($A175="","",Settings!$B$4+SUMIFS($C$2:$C$495,$A$2:$A$495,"&lt;="&amp;$A175)-SUMIFS($K$2:$K$495,$A$2:$A$495,"&lt;="&amp;$A175)-SUMIFS('Weekly Purchases'!$O$2:$O$503,'Weekly Purchases'!$B$2:$B$503,"&lt;&gt;",'Weekly Purchases'!$B$2:$B$503,"&lt;="&amp;$A175)-SUMIFS('Weekly Purchases'!$O$2:$O$503,'Weekly Purchases'!$B$2:$B$503,"",'Weekly Purchases'!$A$2:$A$503,"&lt;="&amp;$A175))</f>
        <v/>
      </c>
      <c r="N175" s="8" t="str">
        <f t="shared" si="10"/>
        <v/>
      </c>
      <c r="O175" s="8" t="str">
        <f t="shared" si="11"/>
        <v/>
      </c>
      <c r="P175" s="4"/>
    </row>
    <row r="176" spans="1:16">
      <c r="A176" s="6"/>
      <c r="B176" s="7"/>
      <c r="C176" s="7"/>
      <c r="D176" s="8" t="str">
        <f t="shared" si="8"/>
        <v/>
      </c>
      <c r="E176" s="7"/>
      <c r="F176" s="7"/>
      <c r="G176" s="7"/>
      <c r="H176" s="7"/>
      <c r="I176" s="8" t="str">
        <f t="shared" si="9"/>
        <v/>
      </c>
      <c r="J176" s="8"/>
      <c r="K176" s="8"/>
      <c r="L176" s="8" t="str">
        <f>IF($A176="","",Settings!$B$3+SUMIFS($B$2:$B$495,$A$2:$A$495,"&lt;="&amp;$A176)-SUMIFS($J$2:$J$495,$A$2:$A$495,"&lt;="&amp;$A176)-SUMIFS('Weekly Purchases'!$N$2:$N$503,'Weekly Purchases'!$B$2:$B$503,"&lt;&gt;",'Weekly Purchases'!$B$2:$B$503,"&lt;="&amp;$A176)-SUMIFS('Weekly Purchases'!$N$2:$N$503,'Weekly Purchases'!$B$2:$B$503,"",'Weekly Purchases'!$A$2:$A$503,"&lt;="&amp;$A176))</f>
        <v/>
      </c>
      <c r="M176" s="8" t="str">
        <f>IF($A176="","",Settings!$B$4+SUMIFS($C$2:$C$495,$A$2:$A$495,"&lt;="&amp;$A176)-SUMIFS($K$2:$K$495,$A$2:$A$495,"&lt;="&amp;$A176)-SUMIFS('Weekly Purchases'!$O$2:$O$503,'Weekly Purchases'!$B$2:$B$503,"&lt;&gt;",'Weekly Purchases'!$B$2:$B$503,"&lt;="&amp;$A176)-SUMIFS('Weekly Purchases'!$O$2:$O$503,'Weekly Purchases'!$B$2:$B$503,"",'Weekly Purchases'!$A$2:$A$503,"&lt;="&amp;$A176))</f>
        <v/>
      </c>
      <c r="N176" s="8" t="str">
        <f t="shared" si="10"/>
        <v/>
      </c>
      <c r="O176" s="8" t="str">
        <f t="shared" si="11"/>
        <v/>
      </c>
      <c r="P176" s="4"/>
    </row>
    <row r="177" spans="1:16">
      <c r="A177" s="6"/>
      <c r="B177" s="7"/>
      <c r="C177" s="7"/>
      <c r="D177" s="8" t="str">
        <f t="shared" si="8"/>
        <v/>
      </c>
      <c r="E177" s="7"/>
      <c r="F177" s="7"/>
      <c r="G177" s="7"/>
      <c r="H177" s="7"/>
      <c r="I177" s="8" t="str">
        <f t="shared" si="9"/>
        <v/>
      </c>
      <c r="J177" s="8"/>
      <c r="K177" s="8"/>
      <c r="L177" s="8" t="str">
        <f>IF($A177="","",Settings!$B$3+SUMIFS($B$2:$B$495,$A$2:$A$495,"&lt;="&amp;$A177)-SUMIFS($J$2:$J$495,$A$2:$A$495,"&lt;="&amp;$A177)-SUMIFS('Weekly Purchases'!$N$2:$N$503,'Weekly Purchases'!$B$2:$B$503,"&lt;&gt;",'Weekly Purchases'!$B$2:$B$503,"&lt;="&amp;$A177)-SUMIFS('Weekly Purchases'!$N$2:$N$503,'Weekly Purchases'!$B$2:$B$503,"",'Weekly Purchases'!$A$2:$A$503,"&lt;="&amp;$A177))</f>
        <v/>
      </c>
      <c r="M177" s="8" t="str">
        <f>IF($A177="","",Settings!$B$4+SUMIFS($C$2:$C$495,$A$2:$A$495,"&lt;="&amp;$A177)-SUMIFS($K$2:$K$495,$A$2:$A$495,"&lt;="&amp;$A177)-SUMIFS('Weekly Purchases'!$O$2:$O$503,'Weekly Purchases'!$B$2:$B$503,"&lt;&gt;",'Weekly Purchases'!$B$2:$B$503,"&lt;="&amp;$A177)-SUMIFS('Weekly Purchases'!$O$2:$O$503,'Weekly Purchases'!$B$2:$B$503,"",'Weekly Purchases'!$A$2:$A$503,"&lt;="&amp;$A177))</f>
        <v/>
      </c>
      <c r="N177" s="8" t="str">
        <f t="shared" si="10"/>
        <v/>
      </c>
      <c r="O177" s="8" t="str">
        <f t="shared" si="11"/>
        <v/>
      </c>
      <c r="P177" s="4"/>
    </row>
    <row r="178" spans="1:16">
      <c r="A178" s="6"/>
      <c r="B178" s="7"/>
      <c r="C178" s="7"/>
      <c r="D178" s="8" t="str">
        <f t="shared" si="8"/>
        <v/>
      </c>
      <c r="E178" s="7"/>
      <c r="F178" s="7"/>
      <c r="G178" s="7"/>
      <c r="H178" s="7"/>
      <c r="I178" s="8" t="str">
        <f t="shared" si="9"/>
        <v/>
      </c>
      <c r="J178" s="8"/>
      <c r="K178" s="8"/>
      <c r="L178" s="8" t="str">
        <f>IF($A178="","",Settings!$B$3+SUMIFS($B$2:$B$495,$A$2:$A$495,"&lt;="&amp;$A178)-SUMIFS($J$2:$J$495,$A$2:$A$495,"&lt;="&amp;$A178)-SUMIFS('Weekly Purchases'!$N$2:$N$503,'Weekly Purchases'!$B$2:$B$503,"&lt;&gt;",'Weekly Purchases'!$B$2:$B$503,"&lt;="&amp;$A178)-SUMIFS('Weekly Purchases'!$N$2:$N$503,'Weekly Purchases'!$B$2:$B$503,"",'Weekly Purchases'!$A$2:$A$503,"&lt;="&amp;$A178))</f>
        <v/>
      </c>
      <c r="M178" s="8" t="str">
        <f>IF($A178="","",Settings!$B$4+SUMIFS($C$2:$C$495,$A$2:$A$495,"&lt;="&amp;$A178)-SUMIFS($K$2:$K$495,$A$2:$A$495,"&lt;="&amp;$A178)-SUMIFS('Weekly Purchases'!$O$2:$O$503,'Weekly Purchases'!$B$2:$B$503,"&lt;&gt;",'Weekly Purchases'!$B$2:$B$503,"&lt;="&amp;$A178)-SUMIFS('Weekly Purchases'!$O$2:$O$503,'Weekly Purchases'!$B$2:$B$503,"",'Weekly Purchases'!$A$2:$A$503,"&lt;="&amp;$A178))</f>
        <v/>
      </c>
      <c r="N178" s="8" t="str">
        <f t="shared" si="10"/>
        <v/>
      </c>
      <c r="O178" s="8" t="str">
        <f t="shared" si="11"/>
        <v/>
      </c>
      <c r="P178" s="4"/>
    </row>
    <row r="179" spans="1:16">
      <c r="A179" s="6"/>
      <c r="B179" s="7"/>
      <c r="C179" s="7"/>
      <c r="D179" s="8" t="str">
        <f t="shared" si="8"/>
        <v/>
      </c>
      <c r="E179" s="7"/>
      <c r="F179" s="7"/>
      <c r="G179" s="7"/>
      <c r="H179" s="7"/>
      <c r="I179" s="8" t="str">
        <f t="shared" si="9"/>
        <v/>
      </c>
      <c r="J179" s="8"/>
      <c r="K179" s="8"/>
      <c r="L179" s="8" t="str">
        <f>IF($A179="","",Settings!$B$3+SUMIFS($B$2:$B$495,$A$2:$A$495,"&lt;="&amp;$A179)-SUMIFS($J$2:$J$495,$A$2:$A$495,"&lt;="&amp;$A179)-SUMIFS('Weekly Purchases'!$N$2:$N$503,'Weekly Purchases'!$B$2:$B$503,"&lt;&gt;",'Weekly Purchases'!$B$2:$B$503,"&lt;="&amp;$A179)-SUMIFS('Weekly Purchases'!$N$2:$N$503,'Weekly Purchases'!$B$2:$B$503,"",'Weekly Purchases'!$A$2:$A$503,"&lt;="&amp;$A179))</f>
        <v/>
      </c>
      <c r="M179" s="8" t="str">
        <f>IF($A179="","",Settings!$B$4+SUMIFS($C$2:$C$495,$A$2:$A$495,"&lt;="&amp;$A179)-SUMIFS($K$2:$K$495,$A$2:$A$495,"&lt;="&amp;$A179)-SUMIFS('Weekly Purchases'!$O$2:$O$503,'Weekly Purchases'!$B$2:$B$503,"&lt;&gt;",'Weekly Purchases'!$B$2:$B$503,"&lt;="&amp;$A179)-SUMIFS('Weekly Purchases'!$O$2:$O$503,'Weekly Purchases'!$B$2:$B$503,"",'Weekly Purchases'!$A$2:$A$503,"&lt;="&amp;$A179))</f>
        <v/>
      </c>
      <c r="N179" s="8" t="str">
        <f t="shared" si="10"/>
        <v/>
      </c>
      <c r="O179" s="8" t="str">
        <f t="shared" si="11"/>
        <v/>
      </c>
      <c r="P179" s="4"/>
    </row>
    <row r="180" spans="1:16">
      <c r="A180" s="6"/>
      <c r="B180" s="7"/>
      <c r="C180" s="7"/>
      <c r="D180" s="8" t="str">
        <f t="shared" si="8"/>
        <v/>
      </c>
      <c r="E180" s="7"/>
      <c r="F180" s="7"/>
      <c r="G180" s="7"/>
      <c r="H180" s="7"/>
      <c r="I180" s="8" t="str">
        <f t="shared" si="9"/>
        <v/>
      </c>
      <c r="J180" s="8"/>
      <c r="K180" s="8"/>
      <c r="L180" s="8" t="str">
        <f>IF($A180="","",Settings!$B$3+SUMIFS($B$2:$B$495,$A$2:$A$495,"&lt;="&amp;$A180)-SUMIFS($J$2:$J$495,$A$2:$A$495,"&lt;="&amp;$A180)-SUMIFS('Weekly Purchases'!$N$2:$N$503,'Weekly Purchases'!$B$2:$B$503,"&lt;&gt;",'Weekly Purchases'!$B$2:$B$503,"&lt;="&amp;$A180)-SUMIFS('Weekly Purchases'!$N$2:$N$503,'Weekly Purchases'!$B$2:$B$503,"",'Weekly Purchases'!$A$2:$A$503,"&lt;="&amp;$A180))</f>
        <v/>
      </c>
      <c r="M180" s="8" t="str">
        <f>IF($A180="","",Settings!$B$4+SUMIFS($C$2:$C$495,$A$2:$A$495,"&lt;="&amp;$A180)-SUMIFS($K$2:$K$495,$A$2:$A$495,"&lt;="&amp;$A180)-SUMIFS('Weekly Purchases'!$O$2:$O$503,'Weekly Purchases'!$B$2:$B$503,"&lt;&gt;",'Weekly Purchases'!$B$2:$B$503,"&lt;="&amp;$A180)-SUMIFS('Weekly Purchases'!$O$2:$O$503,'Weekly Purchases'!$B$2:$B$503,"",'Weekly Purchases'!$A$2:$A$503,"&lt;="&amp;$A180))</f>
        <v/>
      </c>
      <c r="N180" s="8" t="str">
        <f t="shared" si="10"/>
        <v/>
      </c>
      <c r="O180" s="8" t="str">
        <f t="shared" si="11"/>
        <v/>
      </c>
      <c r="P180" s="4"/>
    </row>
    <row r="181" spans="1:16">
      <c r="A181" s="6"/>
      <c r="B181" s="7"/>
      <c r="C181" s="7"/>
      <c r="D181" s="8" t="str">
        <f t="shared" si="8"/>
        <v/>
      </c>
      <c r="E181" s="7"/>
      <c r="F181" s="7"/>
      <c r="G181" s="7"/>
      <c r="H181" s="7"/>
      <c r="I181" s="8" t="str">
        <f t="shared" si="9"/>
        <v/>
      </c>
      <c r="J181" s="8"/>
      <c r="K181" s="8"/>
      <c r="L181" s="8" t="str">
        <f>IF($A181="","",Settings!$B$3+SUMIFS($B$2:$B$495,$A$2:$A$495,"&lt;="&amp;$A181)-SUMIFS($J$2:$J$495,$A$2:$A$495,"&lt;="&amp;$A181)-SUMIFS('Weekly Purchases'!$N$2:$N$503,'Weekly Purchases'!$B$2:$B$503,"&lt;&gt;",'Weekly Purchases'!$B$2:$B$503,"&lt;="&amp;$A181)-SUMIFS('Weekly Purchases'!$N$2:$N$503,'Weekly Purchases'!$B$2:$B$503,"",'Weekly Purchases'!$A$2:$A$503,"&lt;="&amp;$A181))</f>
        <v/>
      </c>
      <c r="M181" s="8" t="str">
        <f>IF($A181="","",Settings!$B$4+SUMIFS($C$2:$C$495,$A$2:$A$495,"&lt;="&amp;$A181)-SUMIFS($K$2:$K$495,$A$2:$A$495,"&lt;="&amp;$A181)-SUMIFS('Weekly Purchases'!$O$2:$O$503,'Weekly Purchases'!$B$2:$B$503,"&lt;&gt;",'Weekly Purchases'!$B$2:$B$503,"&lt;="&amp;$A181)-SUMIFS('Weekly Purchases'!$O$2:$O$503,'Weekly Purchases'!$B$2:$B$503,"",'Weekly Purchases'!$A$2:$A$503,"&lt;="&amp;$A181))</f>
        <v/>
      </c>
      <c r="N181" s="8" t="str">
        <f t="shared" si="10"/>
        <v/>
      </c>
      <c r="O181" s="8" t="str">
        <f t="shared" si="11"/>
        <v/>
      </c>
      <c r="P181" s="4"/>
    </row>
    <row r="182" spans="1:16">
      <c r="A182" s="6"/>
      <c r="B182" s="7"/>
      <c r="C182" s="7"/>
      <c r="D182" s="8" t="str">
        <f t="shared" si="8"/>
        <v/>
      </c>
      <c r="E182" s="7"/>
      <c r="F182" s="7"/>
      <c r="G182" s="7"/>
      <c r="H182" s="7"/>
      <c r="I182" s="8" t="str">
        <f t="shared" si="9"/>
        <v/>
      </c>
      <c r="J182" s="8"/>
      <c r="K182" s="8"/>
      <c r="L182" s="8" t="str">
        <f>IF($A182="","",Settings!$B$3+SUMIFS($B$2:$B$495,$A$2:$A$495,"&lt;="&amp;$A182)-SUMIFS($J$2:$J$495,$A$2:$A$495,"&lt;="&amp;$A182)-SUMIFS('Weekly Purchases'!$N$2:$N$503,'Weekly Purchases'!$B$2:$B$503,"&lt;&gt;",'Weekly Purchases'!$B$2:$B$503,"&lt;="&amp;$A182)-SUMIFS('Weekly Purchases'!$N$2:$N$503,'Weekly Purchases'!$B$2:$B$503,"",'Weekly Purchases'!$A$2:$A$503,"&lt;="&amp;$A182))</f>
        <v/>
      </c>
      <c r="M182" s="8" t="str">
        <f>IF($A182="","",Settings!$B$4+SUMIFS($C$2:$C$495,$A$2:$A$495,"&lt;="&amp;$A182)-SUMIFS($K$2:$K$495,$A$2:$A$495,"&lt;="&amp;$A182)-SUMIFS('Weekly Purchases'!$O$2:$O$503,'Weekly Purchases'!$B$2:$B$503,"&lt;&gt;",'Weekly Purchases'!$B$2:$B$503,"&lt;="&amp;$A182)-SUMIFS('Weekly Purchases'!$O$2:$O$503,'Weekly Purchases'!$B$2:$B$503,"",'Weekly Purchases'!$A$2:$A$503,"&lt;="&amp;$A182))</f>
        <v/>
      </c>
      <c r="N182" s="8" t="str">
        <f t="shared" si="10"/>
        <v/>
      </c>
      <c r="O182" s="8" t="str">
        <f t="shared" si="11"/>
        <v/>
      </c>
      <c r="P182" s="4"/>
    </row>
    <row r="183" spans="1:16">
      <c r="A183" s="6"/>
      <c r="B183" s="7"/>
      <c r="C183" s="7"/>
      <c r="D183" s="8" t="str">
        <f t="shared" si="8"/>
        <v/>
      </c>
      <c r="E183" s="7"/>
      <c r="F183" s="7"/>
      <c r="G183" s="7"/>
      <c r="H183" s="7"/>
      <c r="I183" s="8" t="str">
        <f t="shared" si="9"/>
        <v/>
      </c>
      <c r="J183" s="8"/>
      <c r="K183" s="8"/>
      <c r="L183" s="8" t="str">
        <f>IF($A183="","",Settings!$B$3+SUMIFS($B$2:$B$495,$A$2:$A$495,"&lt;="&amp;$A183)-SUMIFS($J$2:$J$495,$A$2:$A$495,"&lt;="&amp;$A183)-SUMIFS('Weekly Purchases'!$N$2:$N$503,'Weekly Purchases'!$B$2:$B$503,"&lt;&gt;",'Weekly Purchases'!$B$2:$B$503,"&lt;="&amp;$A183)-SUMIFS('Weekly Purchases'!$N$2:$N$503,'Weekly Purchases'!$B$2:$B$503,"",'Weekly Purchases'!$A$2:$A$503,"&lt;="&amp;$A183))</f>
        <v/>
      </c>
      <c r="M183" s="8" t="str">
        <f>IF($A183="","",Settings!$B$4+SUMIFS($C$2:$C$495,$A$2:$A$495,"&lt;="&amp;$A183)-SUMIFS($K$2:$K$495,$A$2:$A$495,"&lt;="&amp;$A183)-SUMIFS('Weekly Purchases'!$O$2:$O$503,'Weekly Purchases'!$B$2:$B$503,"&lt;&gt;",'Weekly Purchases'!$B$2:$B$503,"&lt;="&amp;$A183)-SUMIFS('Weekly Purchases'!$O$2:$O$503,'Weekly Purchases'!$B$2:$B$503,"",'Weekly Purchases'!$A$2:$A$503,"&lt;="&amp;$A183))</f>
        <v/>
      </c>
      <c r="N183" s="8" t="str">
        <f t="shared" si="10"/>
        <v/>
      </c>
      <c r="O183" s="8" t="str">
        <f t="shared" si="11"/>
        <v/>
      </c>
      <c r="P183" s="4"/>
    </row>
    <row r="184" spans="1:16">
      <c r="A184" s="6"/>
      <c r="B184" s="7"/>
      <c r="C184" s="7"/>
      <c r="D184" s="8" t="str">
        <f t="shared" si="8"/>
        <v/>
      </c>
      <c r="E184" s="7"/>
      <c r="F184" s="7"/>
      <c r="G184" s="7"/>
      <c r="H184" s="7"/>
      <c r="I184" s="8" t="str">
        <f t="shared" si="9"/>
        <v/>
      </c>
      <c r="J184" s="8"/>
      <c r="K184" s="8"/>
      <c r="L184" s="8" t="str">
        <f>IF($A184="","",Settings!$B$3+SUMIFS($B$2:$B$495,$A$2:$A$495,"&lt;="&amp;$A184)-SUMIFS($J$2:$J$495,$A$2:$A$495,"&lt;="&amp;$A184)-SUMIFS('Weekly Purchases'!$N$2:$N$503,'Weekly Purchases'!$B$2:$B$503,"&lt;&gt;",'Weekly Purchases'!$B$2:$B$503,"&lt;="&amp;$A184)-SUMIFS('Weekly Purchases'!$N$2:$N$503,'Weekly Purchases'!$B$2:$B$503,"",'Weekly Purchases'!$A$2:$A$503,"&lt;="&amp;$A184))</f>
        <v/>
      </c>
      <c r="M184" s="8" t="str">
        <f>IF($A184="","",Settings!$B$4+SUMIFS($C$2:$C$495,$A$2:$A$495,"&lt;="&amp;$A184)-SUMIFS($K$2:$K$495,$A$2:$A$495,"&lt;="&amp;$A184)-SUMIFS('Weekly Purchases'!$O$2:$O$503,'Weekly Purchases'!$B$2:$B$503,"&lt;&gt;",'Weekly Purchases'!$B$2:$B$503,"&lt;="&amp;$A184)-SUMIFS('Weekly Purchases'!$O$2:$O$503,'Weekly Purchases'!$B$2:$B$503,"",'Weekly Purchases'!$A$2:$A$503,"&lt;="&amp;$A184))</f>
        <v/>
      </c>
      <c r="N184" s="8" t="str">
        <f t="shared" si="10"/>
        <v/>
      </c>
      <c r="O184" s="8" t="str">
        <f t="shared" si="11"/>
        <v/>
      </c>
      <c r="P184" s="4"/>
    </row>
    <row r="185" spans="1:16">
      <c r="A185" s="6"/>
      <c r="B185" s="7"/>
      <c r="C185" s="7"/>
      <c r="D185" s="8" t="str">
        <f t="shared" si="8"/>
        <v/>
      </c>
      <c r="E185" s="7"/>
      <c r="F185" s="7"/>
      <c r="G185" s="7"/>
      <c r="H185" s="7"/>
      <c r="I185" s="8" t="str">
        <f t="shared" si="9"/>
        <v/>
      </c>
      <c r="J185" s="8"/>
      <c r="K185" s="8"/>
      <c r="L185" s="8" t="str">
        <f>IF($A185="","",Settings!$B$3+SUMIFS($B$2:$B$495,$A$2:$A$495,"&lt;="&amp;$A185)-SUMIFS($J$2:$J$495,$A$2:$A$495,"&lt;="&amp;$A185)-SUMIFS('Weekly Purchases'!$N$2:$N$503,'Weekly Purchases'!$B$2:$B$503,"&lt;&gt;",'Weekly Purchases'!$B$2:$B$503,"&lt;="&amp;$A185)-SUMIFS('Weekly Purchases'!$N$2:$N$503,'Weekly Purchases'!$B$2:$B$503,"",'Weekly Purchases'!$A$2:$A$503,"&lt;="&amp;$A185))</f>
        <v/>
      </c>
      <c r="M185" s="8" t="str">
        <f>IF($A185="","",Settings!$B$4+SUMIFS($C$2:$C$495,$A$2:$A$495,"&lt;="&amp;$A185)-SUMIFS($K$2:$K$495,$A$2:$A$495,"&lt;="&amp;$A185)-SUMIFS('Weekly Purchases'!$O$2:$O$503,'Weekly Purchases'!$B$2:$B$503,"&lt;&gt;",'Weekly Purchases'!$B$2:$B$503,"&lt;="&amp;$A185)-SUMIFS('Weekly Purchases'!$O$2:$O$503,'Weekly Purchases'!$B$2:$B$503,"",'Weekly Purchases'!$A$2:$A$503,"&lt;="&amp;$A185))</f>
        <v/>
      </c>
      <c r="N185" s="8" t="str">
        <f t="shared" si="10"/>
        <v/>
      </c>
      <c r="O185" s="8" t="str">
        <f t="shared" si="11"/>
        <v/>
      </c>
      <c r="P185" s="4"/>
    </row>
    <row r="186" spans="1:16">
      <c r="A186" s="6"/>
      <c r="B186" s="7"/>
      <c r="C186" s="7"/>
      <c r="D186" s="8" t="str">
        <f t="shared" ref="D186:D249" si="12">IF($A186="","",SUM($B186:$C186))</f>
        <v/>
      </c>
      <c r="E186" s="7"/>
      <c r="F186" s="7"/>
      <c r="G186" s="7"/>
      <c r="H186" s="7"/>
      <c r="I186" s="8" t="str">
        <f t="shared" ref="I186:I249" si="13">IF($A186="","",SUM($E186:$H186))</f>
        <v/>
      </c>
      <c r="J186" s="8"/>
      <c r="K186" s="8"/>
      <c r="L186" s="8" t="str">
        <f>IF($A186="","",Settings!$B$3+SUMIFS($B$2:$B$495,$A$2:$A$495,"&lt;="&amp;$A186)-SUMIFS($J$2:$J$495,$A$2:$A$495,"&lt;="&amp;$A186)-SUMIFS('Weekly Purchases'!$N$2:$N$503,'Weekly Purchases'!$B$2:$B$503,"&lt;&gt;",'Weekly Purchases'!$B$2:$B$503,"&lt;="&amp;$A186)-SUMIFS('Weekly Purchases'!$N$2:$N$503,'Weekly Purchases'!$B$2:$B$503,"",'Weekly Purchases'!$A$2:$A$503,"&lt;="&amp;$A186))</f>
        <v/>
      </c>
      <c r="M186" s="8" t="str">
        <f>IF($A186="","",Settings!$B$4+SUMIFS($C$2:$C$495,$A$2:$A$495,"&lt;="&amp;$A186)-SUMIFS($K$2:$K$495,$A$2:$A$495,"&lt;="&amp;$A186)-SUMIFS('Weekly Purchases'!$O$2:$O$503,'Weekly Purchases'!$B$2:$B$503,"&lt;&gt;",'Weekly Purchases'!$B$2:$B$503,"&lt;="&amp;$A186)-SUMIFS('Weekly Purchases'!$O$2:$O$503,'Weekly Purchases'!$B$2:$B$503,"",'Weekly Purchases'!$A$2:$A$503,"&lt;="&amp;$A186))</f>
        <v/>
      </c>
      <c r="N186" s="8" t="str">
        <f t="shared" ref="N186:N249" si="14">IF($A186="","",L186+M186)</f>
        <v/>
      </c>
      <c r="O186" s="8" t="str">
        <f t="shared" ref="O186:O249" si="15">IF($A186="","",D186-I186)</f>
        <v/>
      </c>
      <c r="P186" s="4"/>
    </row>
    <row r="187" spans="1:16">
      <c r="A187" s="6"/>
      <c r="B187" s="7"/>
      <c r="C187" s="7"/>
      <c r="D187" s="8" t="str">
        <f t="shared" si="12"/>
        <v/>
      </c>
      <c r="E187" s="7"/>
      <c r="F187" s="7"/>
      <c r="G187" s="7"/>
      <c r="H187" s="7"/>
      <c r="I187" s="8" t="str">
        <f t="shared" si="13"/>
        <v/>
      </c>
      <c r="J187" s="8"/>
      <c r="K187" s="8"/>
      <c r="L187" s="8" t="str">
        <f>IF($A187="","",Settings!$B$3+SUMIFS($B$2:$B$495,$A$2:$A$495,"&lt;="&amp;$A187)-SUMIFS($J$2:$J$495,$A$2:$A$495,"&lt;="&amp;$A187)-SUMIFS('Weekly Purchases'!$N$2:$N$503,'Weekly Purchases'!$B$2:$B$503,"&lt;&gt;",'Weekly Purchases'!$B$2:$B$503,"&lt;="&amp;$A187)-SUMIFS('Weekly Purchases'!$N$2:$N$503,'Weekly Purchases'!$B$2:$B$503,"",'Weekly Purchases'!$A$2:$A$503,"&lt;="&amp;$A187))</f>
        <v/>
      </c>
      <c r="M187" s="8" t="str">
        <f>IF($A187="","",Settings!$B$4+SUMIFS($C$2:$C$495,$A$2:$A$495,"&lt;="&amp;$A187)-SUMIFS($K$2:$K$495,$A$2:$A$495,"&lt;="&amp;$A187)-SUMIFS('Weekly Purchases'!$O$2:$O$503,'Weekly Purchases'!$B$2:$B$503,"&lt;&gt;",'Weekly Purchases'!$B$2:$B$503,"&lt;="&amp;$A187)-SUMIFS('Weekly Purchases'!$O$2:$O$503,'Weekly Purchases'!$B$2:$B$503,"",'Weekly Purchases'!$A$2:$A$503,"&lt;="&amp;$A187))</f>
        <v/>
      </c>
      <c r="N187" s="8" t="str">
        <f t="shared" si="14"/>
        <v/>
      </c>
      <c r="O187" s="8" t="str">
        <f t="shared" si="15"/>
        <v/>
      </c>
      <c r="P187" s="4"/>
    </row>
    <row r="188" spans="1:16">
      <c r="A188" s="6"/>
      <c r="B188" s="7"/>
      <c r="C188" s="7"/>
      <c r="D188" s="8" t="str">
        <f t="shared" si="12"/>
        <v/>
      </c>
      <c r="E188" s="7"/>
      <c r="F188" s="7"/>
      <c r="G188" s="7"/>
      <c r="H188" s="7"/>
      <c r="I188" s="8" t="str">
        <f t="shared" si="13"/>
        <v/>
      </c>
      <c r="J188" s="8"/>
      <c r="K188" s="8"/>
      <c r="L188" s="8" t="str">
        <f>IF($A188="","",Settings!$B$3+SUMIFS($B$2:$B$495,$A$2:$A$495,"&lt;="&amp;$A188)-SUMIFS($J$2:$J$495,$A$2:$A$495,"&lt;="&amp;$A188)-SUMIFS('Weekly Purchases'!$N$2:$N$503,'Weekly Purchases'!$B$2:$B$503,"&lt;&gt;",'Weekly Purchases'!$B$2:$B$503,"&lt;="&amp;$A188)-SUMIFS('Weekly Purchases'!$N$2:$N$503,'Weekly Purchases'!$B$2:$B$503,"",'Weekly Purchases'!$A$2:$A$503,"&lt;="&amp;$A188))</f>
        <v/>
      </c>
      <c r="M188" s="8" t="str">
        <f>IF($A188="","",Settings!$B$4+SUMIFS($C$2:$C$495,$A$2:$A$495,"&lt;="&amp;$A188)-SUMIFS($K$2:$K$495,$A$2:$A$495,"&lt;="&amp;$A188)-SUMIFS('Weekly Purchases'!$O$2:$O$503,'Weekly Purchases'!$B$2:$B$503,"&lt;&gt;",'Weekly Purchases'!$B$2:$B$503,"&lt;="&amp;$A188)-SUMIFS('Weekly Purchases'!$O$2:$O$503,'Weekly Purchases'!$B$2:$B$503,"",'Weekly Purchases'!$A$2:$A$503,"&lt;="&amp;$A188))</f>
        <v/>
      </c>
      <c r="N188" s="8" t="str">
        <f t="shared" si="14"/>
        <v/>
      </c>
      <c r="O188" s="8" t="str">
        <f t="shared" si="15"/>
        <v/>
      </c>
      <c r="P188" s="4"/>
    </row>
    <row r="189" spans="1:16">
      <c r="A189" s="6"/>
      <c r="B189" s="7"/>
      <c r="C189" s="7"/>
      <c r="D189" s="8" t="str">
        <f t="shared" si="12"/>
        <v/>
      </c>
      <c r="E189" s="7"/>
      <c r="F189" s="7"/>
      <c r="G189" s="7"/>
      <c r="H189" s="7"/>
      <c r="I189" s="8" t="str">
        <f t="shared" si="13"/>
        <v/>
      </c>
      <c r="J189" s="8"/>
      <c r="K189" s="8"/>
      <c r="L189" s="8" t="str">
        <f>IF($A189="","",Settings!$B$3+SUMIFS($B$2:$B$495,$A$2:$A$495,"&lt;="&amp;$A189)-SUMIFS($J$2:$J$495,$A$2:$A$495,"&lt;="&amp;$A189)-SUMIFS('Weekly Purchases'!$N$2:$N$503,'Weekly Purchases'!$B$2:$B$503,"&lt;&gt;",'Weekly Purchases'!$B$2:$B$503,"&lt;="&amp;$A189)-SUMIFS('Weekly Purchases'!$N$2:$N$503,'Weekly Purchases'!$B$2:$B$503,"",'Weekly Purchases'!$A$2:$A$503,"&lt;="&amp;$A189))</f>
        <v/>
      </c>
      <c r="M189" s="8" t="str">
        <f>IF($A189="","",Settings!$B$4+SUMIFS($C$2:$C$495,$A$2:$A$495,"&lt;="&amp;$A189)-SUMIFS($K$2:$K$495,$A$2:$A$495,"&lt;="&amp;$A189)-SUMIFS('Weekly Purchases'!$O$2:$O$503,'Weekly Purchases'!$B$2:$B$503,"&lt;&gt;",'Weekly Purchases'!$B$2:$B$503,"&lt;="&amp;$A189)-SUMIFS('Weekly Purchases'!$O$2:$O$503,'Weekly Purchases'!$B$2:$B$503,"",'Weekly Purchases'!$A$2:$A$503,"&lt;="&amp;$A189))</f>
        <v/>
      </c>
      <c r="N189" s="8" t="str">
        <f t="shared" si="14"/>
        <v/>
      </c>
      <c r="O189" s="8" t="str">
        <f t="shared" si="15"/>
        <v/>
      </c>
      <c r="P189" s="4"/>
    </row>
    <row r="190" spans="1:16">
      <c r="A190" s="6"/>
      <c r="B190" s="7"/>
      <c r="C190" s="7"/>
      <c r="D190" s="8" t="str">
        <f t="shared" si="12"/>
        <v/>
      </c>
      <c r="E190" s="7"/>
      <c r="F190" s="7"/>
      <c r="G190" s="7"/>
      <c r="H190" s="7"/>
      <c r="I190" s="8" t="str">
        <f t="shared" si="13"/>
        <v/>
      </c>
      <c r="J190" s="8"/>
      <c r="K190" s="8"/>
      <c r="L190" s="8" t="str">
        <f>IF($A190="","",Settings!$B$3+SUMIFS($B$2:$B$495,$A$2:$A$495,"&lt;="&amp;$A190)-SUMIFS($J$2:$J$495,$A$2:$A$495,"&lt;="&amp;$A190)-SUMIFS('Weekly Purchases'!$N$2:$N$503,'Weekly Purchases'!$B$2:$B$503,"&lt;&gt;",'Weekly Purchases'!$B$2:$B$503,"&lt;="&amp;$A190)-SUMIFS('Weekly Purchases'!$N$2:$N$503,'Weekly Purchases'!$B$2:$B$503,"",'Weekly Purchases'!$A$2:$A$503,"&lt;="&amp;$A190))</f>
        <v/>
      </c>
      <c r="M190" s="8" t="str">
        <f>IF($A190="","",Settings!$B$4+SUMIFS($C$2:$C$495,$A$2:$A$495,"&lt;="&amp;$A190)-SUMIFS($K$2:$K$495,$A$2:$A$495,"&lt;="&amp;$A190)-SUMIFS('Weekly Purchases'!$O$2:$O$503,'Weekly Purchases'!$B$2:$B$503,"&lt;&gt;",'Weekly Purchases'!$B$2:$B$503,"&lt;="&amp;$A190)-SUMIFS('Weekly Purchases'!$O$2:$O$503,'Weekly Purchases'!$B$2:$B$503,"",'Weekly Purchases'!$A$2:$A$503,"&lt;="&amp;$A190))</f>
        <v/>
      </c>
      <c r="N190" s="8" t="str">
        <f t="shared" si="14"/>
        <v/>
      </c>
      <c r="O190" s="8" t="str">
        <f t="shared" si="15"/>
        <v/>
      </c>
      <c r="P190" s="4"/>
    </row>
    <row r="191" spans="1:16">
      <c r="A191" s="6"/>
      <c r="B191" s="7"/>
      <c r="C191" s="7"/>
      <c r="D191" s="8" t="str">
        <f t="shared" si="12"/>
        <v/>
      </c>
      <c r="E191" s="7"/>
      <c r="F191" s="7"/>
      <c r="G191" s="7"/>
      <c r="H191" s="7"/>
      <c r="I191" s="8" t="str">
        <f t="shared" si="13"/>
        <v/>
      </c>
      <c r="J191" s="8"/>
      <c r="K191" s="8"/>
      <c r="L191" s="8" t="str">
        <f>IF($A191="","",Settings!$B$3+SUMIFS($B$2:$B$495,$A$2:$A$495,"&lt;="&amp;$A191)-SUMIFS($J$2:$J$495,$A$2:$A$495,"&lt;="&amp;$A191)-SUMIFS('Weekly Purchases'!$N$2:$N$503,'Weekly Purchases'!$B$2:$B$503,"&lt;&gt;",'Weekly Purchases'!$B$2:$B$503,"&lt;="&amp;$A191)-SUMIFS('Weekly Purchases'!$N$2:$N$503,'Weekly Purchases'!$B$2:$B$503,"",'Weekly Purchases'!$A$2:$A$503,"&lt;="&amp;$A191))</f>
        <v/>
      </c>
      <c r="M191" s="8" t="str">
        <f>IF($A191="","",Settings!$B$4+SUMIFS($C$2:$C$495,$A$2:$A$495,"&lt;="&amp;$A191)-SUMIFS($K$2:$K$495,$A$2:$A$495,"&lt;="&amp;$A191)-SUMIFS('Weekly Purchases'!$O$2:$O$503,'Weekly Purchases'!$B$2:$B$503,"&lt;&gt;",'Weekly Purchases'!$B$2:$B$503,"&lt;="&amp;$A191)-SUMIFS('Weekly Purchases'!$O$2:$O$503,'Weekly Purchases'!$B$2:$B$503,"",'Weekly Purchases'!$A$2:$A$503,"&lt;="&amp;$A191))</f>
        <v/>
      </c>
      <c r="N191" s="8" t="str">
        <f t="shared" si="14"/>
        <v/>
      </c>
      <c r="O191" s="8" t="str">
        <f t="shared" si="15"/>
        <v/>
      </c>
      <c r="P191" s="4"/>
    </row>
    <row r="192" spans="1:16">
      <c r="A192" s="6"/>
      <c r="B192" s="7"/>
      <c r="C192" s="7"/>
      <c r="D192" s="8" t="str">
        <f t="shared" si="12"/>
        <v/>
      </c>
      <c r="E192" s="7"/>
      <c r="F192" s="7"/>
      <c r="G192" s="7"/>
      <c r="H192" s="7"/>
      <c r="I192" s="8" t="str">
        <f t="shared" si="13"/>
        <v/>
      </c>
      <c r="J192" s="8"/>
      <c r="K192" s="8"/>
      <c r="L192" s="8" t="str">
        <f>IF($A192="","",Settings!$B$3+SUMIFS($B$2:$B$495,$A$2:$A$495,"&lt;="&amp;$A192)-SUMIFS($J$2:$J$495,$A$2:$A$495,"&lt;="&amp;$A192)-SUMIFS('Weekly Purchases'!$N$2:$N$503,'Weekly Purchases'!$B$2:$B$503,"&lt;&gt;",'Weekly Purchases'!$B$2:$B$503,"&lt;="&amp;$A192)-SUMIFS('Weekly Purchases'!$N$2:$N$503,'Weekly Purchases'!$B$2:$B$503,"",'Weekly Purchases'!$A$2:$A$503,"&lt;="&amp;$A192))</f>
        <v/>
      </c>
      <c r="M192" s="8" t="str">
        <f>IF($A192="","",Settings!$B$4+SUMIFS($C$2:$C$495,$A$2:$A$495,"&lt;="&amp;$A192)-SUMIFS($K$2:$K$495,$A$2:$A$495,"&lt;="&amp;$A192)-SUMIFS('Weekly Purchases'!$O$2:$O$503,'Weekly Purchases'!$B$2:$B$503,"&lt;&gt;",'Weekly Purchases'!$B$2:$B$503,"&lt;="&amp;$A192)-SUMIFS('Weekly Purchases'!$O$2:$O$503,'Weekly Purchases'!$B$2:$B$503,"",'Weekly Purchases'!$A$2:$A$503,"&lt;="&amp;$A192))</f>
        <v/>
      </c>
      <c r="N192" s="8" t="str">
        <f t="shared" si="14"/>
        <v/>
      </c>
      <c r="O192" s="8" t="str">
        <f t="shared" si="15"/>
        <v/>
      </c>
      <c r="P192" s="4"/>
    </row>
    <row r="193" spans="1:16">
      <c r="A193" s="6"/>
      <c r="B193" s="7"/>
      <c r="C193" s="7"/>
      <c r="D193" s="8" t="str">
        <f t="shared" si="12"/>
        <v/>
      </c>
      <c r="E193" s="7"/>
      <c r="F193" s="7"/>
      <c r="G193" s="7"/>
      <c r="H193" s="7"/>
      <c r="I193" s="8" t="str">
        <f t="shared" si="13"/>
        <v/>
      </c>
      <c r="J193" s="8"/>
      <c r="K193" s="8"/>
      <c r="L193" s="8" t="str">
        <f>IF($A193="","",Settings!$B$3+SUMIFS($B$2:$B$495,$A$2:$A$495,"&lt;="&amp;$A193)-SUMIFS($J$2:$J$495,$A$2:$A$495,"&lt;="&amp;$A193)-SUMIFS('Weekly Purchases'!$N$2:$N$503,'Weekly Purchases'!$B$2:$B$503,"&lt;&gt;",'Weekly Purchases'!$B$2:$B$503,"&lt;="&amp;$A193)-SUMIFS('Weekly Purchases'!$N$2:$N$503,'Weekly Purchases'!$B$2:$B$503,"",'Weekly Purchases'!$A$2:$A$503,"&lt;="&amp;$A193))</f>
        <v/>
      </c>
      <c r="M193" s="8" t="str">
        <f>IF($A193="","",Settings!$B$4+SUMIFS($C$2:$C$495,$A$2:$A$495,"&lt;="&amp;$A193)-SUMIFS($K$2:$K$495,$A$2:$A$495,"&lt;="&amp;$A193)-SUMIFS('Weekly Purchases'!$O$2:$O$503,'Weekly Purchases'!$B$2:$B$503,"&lt;&gt;",'Weekly Purchases'!$B$2:$B$503,"&lt;="&amp;$A193)-SUMIFS('Weekly Purchases'!$O$2:$O$503,'Weekly Purchases'!$B$2:$B$503,"",'Weekly Purchases'!$A$2:$A$503,"&lt;="&amp;$A193))</f>
        <v/>
      </c>
      <c r="N193" s="8" t="str">
        <f t="shared" si="14"/>
        <v/>
      </c>
      <c r="O193" s="8" t="str">
        <f t="shared" si="15"/>
        <v/>
      </c>
      <c r="P193" s="4"/>
    </row>
    <row r="194" spans="1:16">
      <c r="A194" s="6"/>
      <c r="B194" s="7"/>
      <c r="C194" s="7"/>
      <c r="D194" s="8" t="str">
        <f t="shared" si="12"/>
        <v/>
      </c>
      <c r="E194" s="7"/>
      <c r="F194" s="7"/>
      <c r="G194" s="7"/>
      <c r="H194" s="7"/>
      <c r="I194" s="8" t="str">
        <f t="shared" si="13"/>
        <v/>
      </c>
      <c r="J194" s="8"/>
      <c r="K194" s="8"/>
      <c r="L194" s="8" t="str">
        <f>IF($A194="","",Settings!$B$3+SUMIFS($B$2:$B$495,$A$2:$A$495,"&lt;="&amp;$A194)-SUMIFS($J$2:$J$495,$A$2:$A$495,"&lt;="&amp;$A194)-SUMIFS('Weekly Purchases'!$N$2:$N$503,'Weekly Purchases'!$B$2:$B$503,"&lt;&gt;",'Weekly Purchases'!$B$2:$B$503,"&lt;="&amp;$A194)-SUMIFS('Weekly Purchases'!$N$2:$N$503,'Weekly Purchases'!$B$2:$B$503,"",'Weekly Purchases'!$A$2:$A$503,"&lt;="&amp;$A194))</f>
        <v/>
      </c>
      <c r="M194" s="8" t="str">
        <f>IF($A194="","",Settings!$B$4+SUMIFS($C$2:$C$495,$A$2:$A$495,"&lt;="&amp;$A194)-SUMIFS($K$2:$K$495,$A$2:$A$495,"&lt;="&amp;$A194)-SUMIFS('Weekly Purchases'!$O$2:$O$503,'Weekly Purchases'!$B$2:$B$503,"&lt;&gt;",'Weekly Purchases'!$B$2:$B$503,"&lt;="&amp;$A194)-SUMIFS('Weekly Purchases'!$O$2:$O$503,'Weekly Purchases'!$B$2:$B$503,"",'Weekly Purchases'!$A$2:$A$503,"&lt;="&amp;$A194))</f>
        <v/>
      </c>
      <c r="N194" s="8" t="str">
        <f t="shared" si="14"/>
        <v/>
      </c>
      <c r="O194" s="8" t="str">
        <f t="shared" si="15"/>
        <v/>
      </c>
      <c r="P194" s="4"/>
    </row>
    <row r="195" spans="1:16">
      <c r="A195" s="6"/>
      <c r="B195" s="7"/>
      <c r="C195" s="7"/>
      <c r="D195" s="8" t="str">
        <f t="shared" si="12"/>
        <v/>
      </c>
      <c r="E195" s="7"/>
      <c r="F195" s="7"/>
      <c r="G195" s="7"/>
      <c r="H195" s="7"/>
      <c r="I195" s="8" t="str">
        <f t="shared" si="13"/>
        <v/>
      </c>
      <c r="J195" s="8"/>
      <c r="K195" s="8"/>
      <c r="L195" s="8" t="str">
        <f>IF($A195="","",Settings!$B$3+SUMIFS($B$2:$B$495,$A$2:$A$495,"&lt;="&amp;$A195)-SUMIFS($J$2:$J$495,$A$2:$A$495,"&lt;="&amp;$A195)-SUMIFS('Weekly Purchases'!$N$2:$N$503,'Weekly Purchases'!$B$2:$B$503,"&lt;&gt;",'Weekly Purchases'!$B$2:$B$503,"&lt;="&amp;$A195)-SUMIFS('Weekly Purchases'!$N$2:$N$503,'Weekly Purchases'!$B$2:$B$503,"",'Weekly Purchases'!$A$2:$A$503,"&lt;="&amp;$A195))</f>
        <v/>
      </c>
      <c r="M195" s="8" t="str">
        <f>IF($A195="","",Settings!$B$4+SUMIFS($C$2:$C$495,$A$2:$A$495,"&lt;="&amp;$A195)-SUMIFS($K$2:$K$495,$A$2:$A$495,"&lt;="&amp;$A195)-SUMIFS('Weekly Purchases'!$O$2:$O$503,'Weekly Purchases'!$B$2:$B$503,"&lt;&gt;",'Weekly Purchases'!$B$2:$B$503,"&lt;="&amp;$A195)-SUMIFS('Weekly Purchases'!$O$2:$O$503,'Weekly Purchases'!$B$2:$B$503,"",'Weekly Purchases'!$A$2:$A$503,"&lt;="&amp;$A195))</f>
        <v/>
      </c>
      <c r="N195" s="8" t="str">
        <f t="shared" si="14"/>
        <v/>
      </c>
      <c r="O195" s="8" t="str">
        <f t="shared" si="15"/>
        <v/>
      </c>
      <c r="P195" s="4"/>
    </row>
    <row r="196" spans="1:16">
      <c r="A196" s="6"/>
      <c r="B196" s="7"/>
      <c r="C196" s="7"/>
      <c r="D196" s="8" t="str">
        <f t="shared" si="12"/>
        <v/>
      </c>
      <c r="E196" s="7"/>
      <c r="F196" s="7"/>
      <c r="G196" s="7"/>
      <c r="H196" s="7"/>
      <c r="I196" s="8" t="str">
        <f t="shared" si="13"/>
        <v/>
      </c>
      <c r="J196" s="8"/>
      <c r="K196" s="8"/>
      <c r="L196" s="8" t="str">
        <f>IF($A196="","",Settings!$B$3+SUMIFS($B$2:$B$495,$A$2:$A$495,"&lt;="&amp;$A196)-SUMIFS($J$2:$J$495,$A$2:$A$495,"&lt;="&amp;$A196)-SUMIFS('Weekly Purchases'!$N$2:$N$503,'Weekly Purchases'!$B$2:$B$503,"&lt;&gt;",'Weekly Purchases'!$B$2:$B$503,"&lt;="&amp;$A196)-SUMIFS('Weekly Purchases'!$N$2:$N$503,'Weekly Purchases'!$B$2:$B$503,"",'Weekly Purchases'!$A$2:$A$503,"&lt;="&amp;$A196))</f>
        <v/>
      </c>
      <c r="M196" s="8" t="str">
        <f>IF($A196="","",Settings!$B$4+SUMIFS($C$2:$C$495,$A$2:$A$495,"&lt;="&amp;$A196)-SUMIFS($K$2:$K$495,$A$2:$A$495,"&lt;="&amp;$A196)-SUMIFS('Weekly Purchases'!$O$2:$O$503,'Weekly Purchases'!$B$2:$B$503,"&lt;&gt;",'Weekly Purchases'!$B$2:$B$503,"&lt;="&amp;$A196)-SUMIFS('Weekly Purchases'!$O$2:$O$503,'Weekly Purchases'!$B$2:$B$503,"",'Weekly Purchases'!$A$2:$A$503,"&lt;="&amp;$A196))</f>
        <v/>
      </c>
      <c r="N196" s="8" t="str">
        <f t="shared" si="14"/>
        <v/>
      </c>
      <c r="O196" s="8" t="str">
        <f t="shared" si="15"/>
        <v/>
      </c>
      <c r="P196" s="4"/>
    </row>
    <row r="197" spans="1:16">
      <c r="A197" s="6"/>
      <c r="B197" s="7"/>
      <c r="C197" s="7"/>
      <c r="D197" s="8" t="str">
        <f t="shared" si="12"/>
        <v/>
      </c>
      <c r="E197" s="7"/>
      <c r="F197" s="7"/>
      <c r="G197" s="7"/>
      <c r="H197" s="7"/>
      <c r="I197" s="8" t="str">
        <f t="shared" si="13"/>
        <v/>
      </c>
      <c r="J197" s="8"/>
      <c r="K197" s="8"/>
      <c r="L197" s="8" t="str">
        <f>IF($A197="","",Settings!$B$3+SUMIFS($B$2:$B$495,$A$2:$A$495,"&lt;="&amp;$A197)-SUMIFS($J$2:$J$495,$A$2:$A$495,"&lt;="&amp;$A197)-SUMIFS('Weekly Purchases'!$N$2:$N$503,'Weekly Purchases'!$B$2:$B$503,"&lt;&gt;",'Weekly Purchases'!$B$2:$B$503,"&lt;="&amp;$A197)-SUMIFS('Weekly Purchases'!$N$2:$N$503,'Weekly Purchases'!$B$2:$B$503,"",'Weekly Purchases'!$A$2:$A$503,"&lt;="&amp;$A197))</f>
        <v/>
      </c>
      <c r="M197" s="8" t="str">
        <f>IF($A197="","",Settings!$B$4+SUMIFS($C$2:$C$495,$A$2:$A$495,"&lt;="&amp;$A197)-SUMIFS($K$2:$K$495,$A$2:$A$495,"&lt;="&amp;$A197)-SUMIFS('Weekly Purchases'!$O$2:$O$503,'Weekly Purchases'!$B$2:$B$503,"&lt;&gt;",'Weekly Purchases'!$B$2:$B$503,"&lt;="&amp;$A197)-SUMIFS('Weekly Purchases'!$O$2:$O$503,'Weekly Purchases'!$B$2:$B$503,"",'Weekly Purchases'!$A$2:$A$503,"&lt;="&amp;$A197))</f>
        <v/>
      </c>
      <c r="N197" s="8" t="str">
        <f t="shared" si="14"/>
        <v/>
      </c>
      <c r="O197" s="8" t="str">
        <f t="shared" si="15"/>
        <v/>
      </c>
      <c r="P197" s="4"/>
    </row>
    <row r="198" spans="1:16">
      <c r="A198" s="6"/>
      <c r="B198" s="7"/>
      <c r="C198" s="7"/>
      <c r="D198" s="8" t="str">
        <f t="shared" si="12"/>
        <v/>
      </c>
      <c r="E198" s="7"/>
      <c r="F198" s="7"/>
      <c r="G198" s="7"/>
      <c r="H198" s="7"/>
      <c r="I198" s="8" t="str">
        <f t="shared" si="13"/>
        <v/>
      </c>
      <c r="J198" s="8"/>
      <c r="K198" s="8"/>
      <c r="L198" s="8" t="str">
        <f>IF($A198="","",Settings!$B$3+SUMIFS($B$2:$B$495,$A$2:$A$495,"&lt;="&amp;$A198)-SUMIFS($J$2:$J$495,$A$2:$A$495,"&lt;="&amp;$A198)-SUMIFS('Weekly Purchases'!$N$2:$N$503,'Weekly Purchases'!$B$2:$B$503,"&lt;&gt;",'Weekly Purchases'!$B$2:$B$503,"&lt;="&amp;$A198)-SUMIFS('Weekly Purchases'!$N$2:$N$503,'Weekly Purchases'!$B$2:$B$503,"",'Weekly Purchases'!$A$2:$A$503,"&lt;="&amp;$A198))</f>
        <v/>
      </c>
      <c r="M198" s="8" t="str">
        <f>IF($A198="","",Settings!$B$4+SUMIFS($C$2:$C$495,$A$2:$A$495,"&lt;="&amp;$A198)-SUMIFS($K$2:$K$495,$A$2:$A$495,"&lt;="&amp;$A198)-SUMIFS('Weekly Purchases'!$O$2:$O$503,'Weekly Purchases'!$B$2:$B$503,"&lt;&gt;",'Weekly Purchases'!$B$2:$B$503,"&lt;="&amp;$A198)-SUMIFS('Weekly Purchases'!$O$2:$O$503,'Weekly Purchases'!$B$2:$B$503,"",'Weekly Purchases'!$A$2:$A$503,"&lt;="&amp;$A198))</f>
        <v/>
      </c>
      <c r="N198" s="8" t="str">
        <f t="shared" si="14"/>
        <v/>
      </c>
      <c r="O198" s="8" t="str">
        <f t="shared" si="15"/>
        <v/>
      </c>
      <c r="P198" s="4"/>
    </row>
    <row r="199" spans="1:16">
      <c r="A199" s="6"/>
      <c r="B199" s="7"/>
      <c r="C199" s="7"/>
      <c r="D199" s="8" t="str">
        <f t="shared" si="12"/>
        <v/>
      </c>
      <c r="E199" s="7"/>
      <c r="F199" s="7"/>
      <c r="G199" s="7"/>
      <c r="H199" s="7"/>
      <c r="I199" s="8" t="str">
        <f t="shared" si="13"/>
        <v/>
      </c>
      <c r="J199" s="8"/>
      <c r="K199" s="8"/>
      <c r="L199" s="8" t="str">
        <f>IF($A199="","",Settings!$B$3+SUMIFS($B$2:$B$495,$A$2:$A$495,"&lt;="&amp;$A199)-SUMIFS($J$2:$J$495,$A$2:$A$495,"&lt;="&amp;$A199)-SUMIFS('Weekly Purchases'!$N$2:$N$503,'Weekly Purchases'!$B$2:$B$503,"&lt;&gt;",'Weekly Purchases'!$B$2:$B$503,"&lt;="&amp;$A199)-SUMIFS('Weekly Purchases'!$N$2:$N$503,'Weekly Purchases'!$B$2:$B$503,"",'Weekly Purchases'!$A$2:$A$503,"&lt;="&amp;$A199))</f>
        <v/>
      </c>
      <c r="M199" s="8" t="str">
        <f>IF($A199="","",Settings!$B$4+SUMIFS($C$2:$C$495,$A$2:$A$495,"&lt;="&amp;$A199)-SUMIFS($K$2:$K$495,$A$2:$A$495,"&lt;="&amp;$A199)-SUMIFS('Weekly Purchases'!$O$2:$O$503,'Weekly Purchases'!$B$2:$B$503,"&lt;&gt;",'Weekly Purchases'!$B$2:$B$503,"&lt;="&amp;$A199)-SUMIFS('Weekly Purchases'!$O$2:$O$503,'Weekly Purchases'!$B$2:$B$503,"",'Weekly Purchases'!$A$2:$A$503,"&lt;="&amp;$A199))</f>
        <v/>
      </c>
      <c r="N199" s="8" t="str">
        <f t="shared" si="14"/>
        <v/>
      </c>
      <c r="O199" s="8" t="str">
        <f t="shared" si="15"/>
        <v/>
      </c>
      <c r="P199" s="4"/>
    </row>
    <row r="200" spans="1:16">
      <c r="A200" s="6"/>
      <c r="B200" s="7"/>
      <c r="C200" s="7"/>
      <c r="D200" s="8" t="str">
        <f t="shared" si="12"/>
        <v/>
      </c>
      <c r="E200" s="7"/>
      <c r="F200" s="7"/>
      <c r="G200" s="7"/>
      <c r="H200" s="7"/>
      <c r="I200" s="8" t="str">
        <f t="shared" si="13"/>
        <v/>
      </c>
      <c r="J200" s="8"/>
      <c r="K200" s="8"/>
      <c r="L200" s="8" t="str">
        <f>IF($A200="","",Settings!$B$3+SUMIFS($B$2:$B$495,$A$2:$A$495,"&lt;="&amp;$A200)-SUMIFS($J$2:$J$495,$A$2:$A$495,"&lt;="&amp;$A200)-SUMIFS('Weekly Purchases'!$N$2:$N$503,'Weekly Purchases'!$B$2:$B$503,"&lt;&gt;",'Weekly Purchases'!$B$2:$B$503,"&lt;="&amp;$A200)-SUMIFS('Weekly Purchases'!$N$2:$N$503,'Weekly Purchases'!$B$2:$B$503,"",'Weekly Purchases'!$A$2:$A$503,"&lt;="&amp;$A200))</f>
        <v/>
      </c>
      <c r="M200" s="8" t="str">
        <f>IF($A200="","",Settings!$B$4+SUMIFS($C$2:$C$495,$A$2:$A$495,"&lt;="&amp;$A200)-SUMIFS($K$2:$K$495,$A$2:$A$495,"&lt;="&amp;$A200)-SUMIFS('Weekly Purchases'!$O$2:$O$503,'Weekly Purchases'!$B$2:$B$503,"&lt;&gt;",'Weekly Purchases'!$B$2:$B$503,"&lt;="&amp;$A200)-SUMIFS('Weekly Purchases'!$O$2:$O$503,'Weekly Purchases'!$B$2:$B$503,"",'Weekly Purchases'!$A$2:$A$503,"&lt;="&amp;$A200))</f>
        <v/>
      </c>
      <c r="N200" s="8" t="str">
        <f t="shared" si="14"/>
        <v/>
      </c>
      <c r="O200" s="8" t="str">
        <f t="shared" si="15"/>
        <v/>
      </c>
      <c r="P200" s="4"/>
    </row>
    <row r="201" spans="1:16">
      <c r="A201" s="6"/>
      <c r="B201" s="7"/>
      <c r="C201" s="7"/>
      <c r="D201" s="8" t="str">
        <f t="shared" si="12"/>
        <v/>
      </c>
      <c r="E201" s="7"/>
      <c r="F201" s="7"/>
      <c r="G201" s="7"/>
      <c r="H201" s="7"/>
      <c r="I201" s="8" t="str">
        <f t="shared" si="13"/>
        <v/>
      </c>
      <c r="J201" s="8"/>
      <c r="K201" s="8"/>
      <c r="L201" s="8" t="str">
        <f>IF($A201="","",Settings!$B$3+SUMIFS($B$2:$B$495,$A$2:$A$495,"&lt;="&amp;$A201)-SUMIFS($J$2:$J$495,$A$2:$A$495,"&lt;="&amp;$A201)-SUMIFS('Weekly Purchases'!$N$2:$N$503,'Weekly Purchases'!$B$2:$B$503,"&lt;&gt;",'Weekly Purchases'!$B$2:$B$503,"&lt;="&amp;$A201)-SUMIFS('Weekly Purchases'!$N$2:$N$503,'Weekly Purchases'!$B$2:$B$503,"",'Weekly Purchases'!$A$2:$A$503,"&lt;="&amp;$A201))</f>
        <v/>
      </c>
      <c r="M201" s="8" t="str">
        <f>IF($A201="","",Settings!$B$4+SUMIFS($C$2:$C$495,$A$2:$A$495,"&lt;="&amp;$A201)-SUMIFS($K$2:$K$495,$A$2:$A$495,"&lt;="&amp;$A201)-SUMIFS('Weekly Purchases'!$O$2:$O$503,'Weekly Purchases'!$B$2:$B$503,"&lt;&gt;",'Weekly Purchases'!$B$2:$B$503,"&lt;="&amp;$A201)-SUMIFS('Weekly Purchases'!$O$2:$O$503,'Weekly Purchases'!$B$2:$B$503,"",'Weekly Purchases'!$A$2:$A$503,"&lt;="&amp;$A201))</f>
        <v/>
      </c>
      <c r="N201" s="8" t="str">
        <f t="shared" si="14"/>
        <v/>
      </c>
      <c r="O201" s="8" t="str">
        <f t="shared" si="15"/>
        <v/>
      </c>
      <c r="P201" s="4"/>
    </row>
    <row r="202" spans="1:16">
      <c r="A202" s="6"/>
      <c r="B202" s="7"/>
      <c r="C202" s="7"/>
      <c r="D202" s="8" t="str">
        <f t="shared" si="12"/>
        <v/>
      </c>
      <c r="E202" s="7"/>
      <c r="F202" s="7"/>
      <c r="G202" s="7"/>
      <c r="H202" s="7"/>
      <c r="I202" s="8" t="str">
        <f t="shared" si="13"/>
        <v/>
      </c>
      <c r="J202" s="8"/>
      <c r="K202" s="8"/>
      <c r="L202" s="8" t="str">
        <f>IF($A202="","",Settings!$B$3+SUMIFS($B$2:$B$495,$A$2:$A$495,"&lt;="&amp;$A202)-SUMIFS($J$2:$J$495,$A$2:$A$495,"&lt;="&amp;$A202)-SUMIFS('Weekly Purchases'!$N$2:$N$503,'Weekly Purchases'!$B$2:$B$503,"&lt;&gt;",'Weekly Purchases'!$B$2:$B$503,"&lt;="&amp;$A202)-SUMIFS('Weekly Purchases'!$N$2:$N$503,'Weekly Purchases'!$B$2:$B$503,"",'Weekly Purchases'!$A$2:$A$503,"&lt;="&amp;$A202))</f>
        <v/>
      </c>
      <c r="M202" s="8" t="str">
        <f>IF($A202="","",Settings!$B$4+SUMIFS($C$2:$C$495,$A$2:$A$495,"&lt;="&amp;$A202)-SUMIFS($K$2:$K$495,$A$2:$A$495,"&lt;="&amp;$A202)-SUMIFS('Weekly Purchases'!$O$2:$O$503,'Weekly Purchases'!$B$2:$B$503,"&lt;&gt;",'Weekly Purchases'!$B$2:$B$503,"&lt;="&amp;$A202)-SUMIFS('Weekly Purchases'!$O$2:$O$503,'Weekly Purchases'!$B$2:$B$503,"",'Weekly Purchases'!$A$2:$A$503,"&lt;="&amp;$A202))</f>
        <v/>
      </c>
      <c r="N202" s="8" t="str">
        <f t="shared" si="14"/>
        <v/>
      </c>
      <c r="O202" s="8" t="str">
        <f t="shared" si="15"/>
        <v/>
      </c>
      <c r="P202" s="4"/>
    </row>
    <row r="203" spans="1:16">
      <c r="A203" s="6"/>
      <c r="B203" s="7"/>
      <c r="C203" s="7"/>
      <c r="D203" s="8" t="str">
        <f t="shared" si="12"/>
        <v/>
      </c>
      <c r="E203" s="7"/>
      <c r="F203" s="7"/>
      <c r="G203" s="7"/>
      <c r="H203" s="7"/>
      <c r="I203" s="8" t="str">
        <f t="shared" si="13"/>
        <v/>
      </c>
      <c r="J203" s="8"/>
      <c r="K203" s="8"/>
      <c r="L203" s="8" t="str">
        <f>IF($A203="","",Settings!$B$3+SUMIFS($B$2:$B$495,$A$2:$A$495,"&lt;="&amp;$A203)-SUMIFS($J$2:$J$495,$A$2:$A$495,"&lt;="&amp;$A203)-SUMIFS('Weekly Purchases'!$N$2:$N$503,'Weekly Purchases'!$B$2:$B$503,"&lt;&gt;",'Weekly Purchases'!$B$2:$B$503,"&lt;="&amp;$A203)-SUMIFS('Weekly Purchases'!$N$2:$N$503,'Weekly Purchases'!$B$2:$B$503,"",'Weekly Purchases'!$A$2:$A$503,"&lt;="&amp;$A203))</f>
        <v/>
      </c>
      <c r="M203" s="8" t="str">
        <f>IF($A203="","",Settings!$B$4+SUMIFS($C$2:$C$495,$A$2:$A$495,"&lt;="&amp;$A203)-SUMIFS($K$2:$K$495,$A$2:$A$495,"&lt;="&amp;$A203)-SUMIFS('Weekly Purchases'!$O$2:$O$503,'Weekly Purchases'!$B$2:$B$503,"&lt;&gt;",'Weekly Purchases'!$B$2:$B$503,"&lt;="&amp;$A203)-SUMIFS('Weekly Purchases'!$O$2:$O$503,'Weekly Purchases'!$B$2:$B$503,"",'Weekly Purchases'!$A$2:$A$503,"&lt;="&amp;$A203))</f>
        <v/>
      </c>
      <c r="N203" s="8" t="str">
        <f t="shared" si="14"/>
        <v/>
      </c>
      <c r="O203" s="8" t="str">
        <f t="shared" si="15"/>
        <v/>
      </c>
      <c r="P203" s="4"/>
    </row>
    <row r="204" spans="1:16">
      <c r="A204" s="6"/>
      <c r="B204" s="7"/>
      <c r="C204" s="7"/>
      <c r="D204" s="8" t="str">
        <f t="shared" si="12"/>
        <v/>
      </c>
      <c r="E204" s="7"/>
      <c r="F204" s="7"/>
      <c r="G204" s="7"/>
      <c r="H204" s="7"/>
      <c r="I204" s="8" t="str">
        <f t="shared" si="13"/>
        <v/>
      </c>
      <c r="J204" s="8"/>
      <c r="K204" s="8"/>
      <c r="L204" s="8" t="str">
        <f>IF($A204="","",Settings!$B$3+SUMIFS($B$2:$B$495,$A$2:$A$495,"&lt;="&amp;$A204)-SUMIFS($J$2:$J$495,$A$2:$A$495,"&lt;="&amp;$A204)-SUMIFS('Weekly Purchases'!$N$2:$N$503,'Weekly Purchases'!$B$2:$B$503,"&lt;&gt;",'Weekly Purchases'!$B$2:$B$503,"&lt;="&amp;$A204)-SUMIFS('Weekly Purchases'!$N$2:$N$503,'Weekly Purchases'!$B$2:$B$503,"",'Weekly Purchases'!$A$2:$A$503,"&lt;="&amp;$A204))</f>
        <v/>
      </c>
      <c r="M204" s="8" t="str">
        <f>IF($A204="","",Settings!$B$4+SUMIFS($C$2:$C$495,$A$2:$A$495,"&lt;="&amp;$A204)-SUMIFS($K$2:$K$495,$A$2:$A$495,"&lt;="&amp;$A204)-SUMIFS('Weekly Purchases'!$O$2:$O$503,'Weekly Purchases'!$B$2:$B$503,"&lt;&gt;",'Weekly Purchases'!$B$2:$B$503,"&lt;="&amp;$A204)-SUMIFS('Weekly Purchases'!$O$2:$O$503,'Weekly Purchases'!$B$2:$B$503,"",'Weekly Purchases'!$A$2:$A$503,"&lt;="&amp;$A204))</f>
        <v/>
      </c>
      <c r="N204" s="8" t="str">
        <f t="shared" si="14"/>
        <v/>
      </c>
      <c r="O204" s="8" t="str">
        <f t="shared" si="15"/>
        <v/>
      </c>
      <c r="P204" s="4"/>
    </row>
    <row r="205" spans="1:16">
      <c r="A205" s="6"/>
      <c r="B205" s="7"/>
      <c r="C205" s="7"/>
      <c r="D205" s="8" t="str">
        <f t="shared" si="12"/>
        <v/>
      </c>
      <c r="E205" s="7"/>
      <c r="F205" s="7"/>
      <c r="G205" s="7"/>
      <c r="H205" s="7"/>
      <c r="I205" s="8" t="str">
        <f t="shared" si="13"/>
        <v/>
      </c>
      <c r="J205" s="8"/>
      <c r="K205" s="8"/>
      <c r="L205" s="8" t="str">
        <f>IF($A205="","",Settings!$B$3+SUMIFS($B$2:$B$495,$A$2:$A$495,"&lt;="&amp;$A205)-SUMIFS($J$2:$J$495,$A$2:$A$495,"&lt;="&amp;$A205)-SUMIFS('Weekly Purchases'!$N$2:$N$503,'Weekly Purchases'!$B$2:$B$503,"&lt;&gt;",'Weekly Purchases'!$B$2:$B$503,"&lt;="&amp;$A205)-SUMIFS('Weekly Purchases'!$N$2:$N$503,'Weekly Purchases'!$B$2:$B$503,"",'Weekly Purchases'!$A$2:$A$503,"&lt;="&amp;$A205))</f>
        <v/>
      </c>
      <c r="M205" s="8" t="str">
        <f>IF($A205="","",Settings!$B$4+SUMIFS($C$2:$C$495,$A$2:$A$495,"&lt;="&amp;$A205)-SUMIFS($K$2:$K$495,$A$2:$A$495,"&lt;="&amp;$A205)-SUMIFS('Weekly Purchases'!$O$2:$O$503,'Weekly Purchases'!$B$2:$B$503,"&lt;&gt;",'Weekly Purchases'!$B$2:$B$503,"&lt;="&amp;$A205)-SUMIFS('Weekly Purchases'!$O$2:$O$503,'Weekly Purchases'!$B$2:$B$503,"",'Weekly Purchases'!$A$2:$A$503,"&lt;="&amp;$A205))</f>
        <v/>
      </c>
      <c r="N205" s="8" t="str">
        <f t="shared" si="14"/>
        <v/>
      </c>
      <c r="O205" s="8" t="str">
        <f t="shared" si="15"/>
        <v/>
      </c>
      <c r="P205" s="4"/>
    </row>
    <row r="206" spans="1:16">
      <c r="A206" s="6"/>
      <c r="B206" s="7"/>
      <c r="C206" s="7"/>
      <c r="D206" s="8" t="str">
        <f t="shared" si="12"/>
        <v/>
      </c>
      <c r="E206" s="7"/>
      <c r="F206" s="7"/>
      <c r="G206" s="7"/>
      <c r="H206" s="7"/>
      <c r="I206" s="8" t="str">
        <f t="shared" si="13"/>
        <v/>
      </c>
      <c r="J206" s="8"/>
      <c r="K206" s="8"/>
      <c r="L206" s="8" t="str">
        <f>IF($A206="","",Settings!$B$3+SUMIFS($B$2:$B$495,$A$2:$A$495,"&lt;="&amp;$A206)-SUMIFS($J$2:$J$495,$A$2:$A$495,"&lt;="&amp;$A206)-SUMIFS('Weekly Purchases'!$N$2:$N$503,'Weekly Purchases'!$B$2:$B$503,"&lt;&gt;",'Weekly Purchases'!$B$2:$B$503,"&lt;="&amp;$A206)-SUMIFS('Weekly Purchases'!$N$2:$N$503,'Weekly Purchases'!$B$2:$B$503,"",'Weekly Purchases'!$A$2:$A$503,"&lt;="&amp;$A206))</f>
        <v/>
      </c>
      <c r="M206" s="8" t="str">
        <f>IF($A206="","",Settings!$B$4+SUMIFS($C$2:$C$495,$A$2:$A$495,"&lt;="&amp;$A206)-SUMIFS($K$2:$K$495,$A$2:$A$495,"&lt;="&amp;$A206)-SUMIFS('Weekly Purchases'!$O$2:$O$503,'Weekly Purchases'!$B$2:$B$503,"&lt;&gt;",'Weekly Purchases'!$B$2:$B$503,"&lt;="&amp;$A206)-SUMIFS('Weekly Purchases'!$O$2:$O$503,'Weekly Purchases'!$B$2:$B$503,"",'Weekly Purchases'!$A$2:$A$503,"&lt;="&amp;$A206))</f>
        <v/>
      </c>
      <c r="N206" s="8" t="str">
        <f t="shared" si="14"/>
        <v/>
      </c>
      <c r="O206" s="8" t="str">
        <f t="shared" si="15"/>
        <v/>
      </c>
      <c r="P206" s="4"/>
    </row>
    <row r="207" spans="1:16">
      <c r="A207" s="6"/>
      <c r="B207" s="7"/>
      <c r="C207" s="7"/>
      <c r="D207" s="8" t="str">
        <f t="shared" si="12"/>
        <v/>
      </c>
      <c r="E207" s="7"/>
      <c r="F207" s="7"/>
      <c r="G207" s="7"/>
      <c r="H207" s="7"/>
      <c r="I207" s="8" t="str">
        <f t="shared" si="13"/>
        <v/>
      </c>
      <c r="J207" s="8"/>
      <c r="K207" s="8"/>
      <c r="L207" s="8" t="str">
        <f>IF($A207="","",Settings!$B$3+SUMIFS($B$2:$B$495,$A$2:$A$495,"&lt;="&amp;$A207)-SUMIFS($J$2:$J$495,$A$2:$A$495,"&lt;="&amp;$A207)-SUMIFS('Weekly Purchases'!$N$2:$N$503,'Weekly Purchases'!$B$2:$B$503,"&lt;&gt;",'Weekly Purchases'!$B$2:$B$503,"&lt;="&amp;$A207)-SUMIFS('Weekly Purchases'!$N$2:$N$503,'Weekly Purchases'!$B$2:$B$503,"",'Weekly Purchases'!$A$2:$A$503,"&lt;="&amp;$A207))</f>
        <v/>
      </c>
      <c r="M207" s="8" t="str">
        <f>IF($A207="","",Settings!$B$4+SUMIFS($C$2:$C$495,$A$2:$A$495,"&lt;="&amp;$A207)-SUMIFS($K$2:$K$495,$A$2:$A$495,"&lt;="&amp;$A207)-SUMIFS('Weekly Purchases'!$O$2:$O$503,'Weekly Purchases'!$B$2:$B$503,"&lt;&gt;",'Weekly Purchases'!$B$2:$B$503,"&lt;="&amp;$A207)-SUMIFS('Weekly Purchases'!$O$2:$O$503,'Weekly Purchases'!$B$2:$B$503,"",'Weekly Purchases'!$A$2:$A$503,"&lt;="&amp;$A207))</f>
        <v/>
      </c>
      <c r="N207" s="8" t="str">
        <f t="shared" si="14"/>
        <v/>
      </c>
      <c r="O207" s="8" t="str">
        <f t="shared" si="15"/>
        <v/>
      </c>
      <c r="P207" s="4"/>
    </row>
    <row r="208" spans="1:16">
      <c r="A208" s="6"/>
      <c r="B208" s="7"/>
      <c r="C208" s="7"/>
      <c r="D208" s="8" t="str">
        <f t="shared" si="12"/>
        <v/>
      </c>
      <c r="E208" s="7"/>
      <c r="F208" s="7"/>
      <c r="G208" s="7"/>
      <c r="H208" s="7"/>
      <c r="I208" s="8" t="str">
        <f t="shared" si="13"/>
        <v/>
      </c>
      <c r="J208" s="8"/>
      <c r="K208" s="8"/>
      <c r="L208" s="8" t="str">
        <f>IF($A208="","",Settings!$B$3+SUMIFS($B$2:$B$495,$A$2:$A$495,"&lt;="&amp;$A208)-SUMIFS($J$2:$J$495,$A$2:$A$495,"&lt;="&amp;$A208)-SUMIFS('Weekly Purchases'!$N$2:$N$503,'Weekly Purchases'!$B$2:$B$503,"&lt;&gt;",'Weekly Purchases'!$B$2:$B$503,"&lt;="&amp;$A208)-SUMIFS('Weekly Purchases'!$N$2:$N$503,'Weekly Purchases'!$B$2:$B$503,"",'Weekly Purchases'!$A$2:$A$503,"&lt;="&amp;$A208))</f>
        <v/>
      </c>
      <c r="M208" s="8" t="str">
        <f>IF($A208="","",Settings!$B$4+SUMIFS($C$2:$C$495,$A$2:$A$495,"&lt;="&amp;$A208)-SUMIFS($K$2:$K$495,$A$2:$A$495,"&lt;="&amp;$A208)-SUMIFS('Weekly Purchases'!$O$2:$O$503,'Weekly Purchases'!$B$2:$B$503,"&lt;&gt;",'Weekly Purchases'!$B$2:$B$503,"&lt;="&amp;$A208)-SUMIFS('Weekly Purchases'!$O$2:$O$503,'Weekly Purchases'!$B$2:$B$503,"",'Weekly Purchases'!$A$2:$A$503,"&lt;="&amp;$A208))</f>
        <v/>
      </c>
      <c r="N208" s="8" t="str">
        <f t="shared" si="14"/>
        <v/>
      </c>
      <c r="O208" s="8" t="str">
        <f t="shared" si="15"/>
        <v/>
      </c>
      <c r="P208" s="4"/>
    </row>
    <row r="209" spans="1:16">
      <c r="A209" s="6"/>
      <c r="B209" s="7"/>
      <c r="C209" s="7"/>
      <c r="D209" s="8" t="str">
        <f t="shared" si="12"/>
        <v/>
      </c>
      <c r="E209" s="7"/>
      <c r="F209" s="7"/>
      <c r="G209" s="7"/>
      <c r="H209" s="7"/>
      <c r="I209" s="8" t="str">
        <f t="shared" si="13"/>
        <v/>
      </c>
      <c r="J209" s="8"/>
      <c r="K209" s="8"/>
      <c r="L209" s="8" t="str">
        <f>IF($A209="","",Settings!$B$3+SUMIFS($B$2:$B$495,$A$2:$A$495,"&lt;="&amp;$A209)-SUMIFS($J$2:$J$495,$A$2:$A$495,"&lt;="&amp;$A209)-SUMIFS('Weekly Purchases'!$N$2:$N$503,'Weekly Purchases'!$B$2:$B$503,"&lt;&gt;",'Weekly Purchases'!$B$2:$B$503,"&lt;="&amp;$A209)-SUMIFS('Weekly Purchases'!$N$2:$N$503,'Weekly Purchases'!$B$2:$B$503,"",'Weekly Purchases'!$A$2:$A$503,"&lt;="&amp;$A209))</f>
        <v/>
      </c>
      <c r="M209" s="8" t="str">
        <f>IF($A209="","",Settings!$B$4+SUMIFS($C$2:$C$495,$A$2:$A$495,"&lt;="&amp;$A209)-SUMIFS($K$2:$K$495,$A$2:$A$495,"&lt;="&amp;$A209)-SUMIFS('Weekly Purchases'!$O$2:$O$503,'Weekly Purchases'!$B$2:$B$503,"&lt;&gt;",'Weekly Purchases'!$B$2:$B$503,"&lt;="&amp;$A209)-SUMIFS('Weekly Purchases'!$O$2:$O$503,'Weekly Purchases'!$B$2:$B$503,"",'Weekly Purchases'!$A$2:$A$503,"&lt;="&amp;$A209))</f>
        <v/>
      </c>
      <c r="N209" s="8" t="str">
        <f t="shared" si="14"/>
        <v/>
      </c>
      <c r="O209" s="8" t="str">
        <f t="shared" si="15"/>
        <v/>
      </c>
      <c r="P209" s="4"/>
    </row>
    <row r="210" spans="1:16">
      <c r="A210" s="6"/>
      <c r="B210" s="7"/>
      <c r="C210" s="7"/>
      <c r="D210" s="8" t="str">
        <f t="shared" si="12"/>
        <v/>
      </c>
      <c r="E210" s="7"/>
      <c r="F210" s="7"/>
      <c r="G210" s="7"/>
      <c r="H210" s="7"/>
      <c r="I210" s="8" t="str">
        <f t="shared" si="13"/>
        <v/>
      </c>
      <c r="J210" s="8"/>
      <c r="K210" s="8"/>
      <c r="L210" s="8" t="str">
        <f>IF($A210="","",Settings!$B$3+SUMIFS($B$2:$B$495,$A$2:$A$495,"&lt;="&amp;$A210)-SUMIFS($J$2:$J$495,$A$2:$A$495,"&lt;="&amp;$A210)-SUMIFS('Weekly Purchases'!$N$2:$N$503,'Weekly Purchases'!$B$2:$B$503,"&lt;&gt;",'Weekly Purchases'!$B$2:$B$503,"&lt;="&amp;$A210)-SUMIFS('Weekly Purchases'!$N$2:$N$503,'Weekly Purchases'!$B$2:$B$503,"",'Weekly Purchases'!$A$2:$A$503,"&lt;="&amp;$A210))</f>
        <v/>
      </c>
      <c r="M210" s="8" t="str">
        <f>IF($A210="","",Settings!$B$4+SUMIFS($C$2:$C$495,$A$2:$A$495,"&lt;="&amp;$A210)-SUMIFS($K$2:$K$495,$A$2:$A$495,"&lt;="&amp;$A210)-SUMIFS('Weekly Purchases'!$O$2:$O$503,'Weekly Purchases'!$B$2:$B$503,"&lt;&gt;",'Weekly Purchases'!$B$2:$B$503,"&lt;="&amp;$A210)-SUMIFS('Weekly Purchases'!$O$2:$O$503,'Weekly Purchases'!$B$2:$B$503,"",'Weekly Purchases'!$A$2:$A$503,"&lt;="&amp;$A210))</f>
        <v/>
      </c>
      <c r="N210" s="8" t="str">
        <f t="shared" si="14"/>
        <v/>
      </c>
      <c r="O210" s="8" t="str">
        <f t="shared" si="15"/>
        <v/>
      </c>
      <c r="P210" s="4"/>
    </row>
    <row r="211" spans="1:16">
      <c r="A211" s="6"/>
      <c r="B211" s="7"/>
      <c r="C211" s="7"/>
      <c r="D211" s="8" t="str">
        <f t="shared" si="12"/>
        <v/>
      </c>
      <c r="E211" s="7"/>
      <c r="F211" s="7"/>
      <c r="G211" s="7"/>
      <c r="H211" s="7"/>
      <c r="I211" s="8" t="str">
        <f t="shared" si="13"/>
        <v/>
      </c>
      <c r="J211" s="8"/>
      <c r="K211" s="8"/>
      <c r="L211" s="8" t="str">
        <f>IF($A211="","",Settings!$B$3+SUMIFS($B$2:$B$495,$A$2:$A$495,"&lt;="&amp;$A211)-SUMIFS($J$2:$J$495,$A$2:$A$495,"&lt;="&amp;$A211)-SUMIFS('Weekly Purchases'!$N$2:$N$503,'Weekly Purchases'!$B$2:$B$503,"&lt;&gt;",'Weekly Purchases'!$B$2:$B$503,"&lt;="&amp;$A211)-SUMIFS('Weekly Purchases'!$N$2:$N$503,'Weekly Purchases'!$B$2:$B$503,"",'Weekly Purchases'!$A$2:$A$503,"&lt;="&amp;$A211))</f>
        <v/>
      </c>
      <c r="M211" s="8" t="str">
        <f>IF($A211="","",Settings!$B$4+SUMIFS($C$2:$C$495,$A$2:$A$495,"&lt;="&amp;$A211)-SUMIFS($K$2:$K$495,$A$2:$A$495,"&lt;="&amp;$A211)-SUMIFS('Weekly Purchases'!$O$2:$O$503,'Weekly Purchases'!$B$2:$B$503,"&lt;&gt;",'Weekly Purchases'!$B$2:$B$503,"&lt;="&amp;$A211)-SUMIFS('Weekly Purchases'!$O$2:$O$503,'Weekly Purchases'!$B$2:$B$503,"",'Weekly Purchases'!$A$2:$A$503,"&lt;="&amp;$A211))</f>
        <v/>
      </c>
      <c r="N211" s="8" t="str">
        <f t="shared" si="14"/>
        <v/>
      </c>
      <c r="O211" s="8" t="str">
        <f t="shared" si="15"/>
        <v/>
      </c>
      <c r="P211" s="4"/>
    </row>
    <row r="212" spans="1:16">
      <c r="A212" s="6"/>
      <c r="B212" s="7"/>
      <c r="C212" s="7"/>
      <c r="D212" s="8" t="str">
        <f t="shared" si="12"/>
        <v/>
      </c>
      <c r="E212" s="7"/>
      <c r="F212" s="7"/>
      <c r="G212" s="7"/>
      <c r="H212" s="7"/>
      <c r="I212" s="8" t="str">
        <f t="shared" si="13"/>
        <v/>
      </c>
      <c r="J212" s="8"/>
      <c r="K212" s="8"/>
      <c r="L212" s="8" t="str">
        <f>IF($A212="","",Settings!$B$3+SUMIFS($B$2:$B$495,$A$2:$A$495,"&lt;="&amp;$A212)-SUMIFS($J$2:$J$495,$A$2:$A$495,"&lt;="&amp;$A212)-SUMIFS('Weekly Purchases'!$N$2:$N$503,'Weekly Purchases'!$B$2:$B$503,"&lt;&gt;",'Weekly Purchases'!$B$2:$B$503,"&lt;="&amp;$A212)-SUMIFS('Weekly Purchases'!$N$2:$N$503,'Weekly Purchases'!$B$2:$B$503,"",'Weekly Purchases'!$A$2:$A$503,"&lt;="&amp;$A212))</f>
        <v/>
      </c>
      <c r="M212" s="8" t="str">
        <f>IF($A212="","",Settings!$B$4+SUMIFS($C$2:$C$495,$A$2:$A$495,"&lt;="&amp;$A212)-SUMIFS($K$2:$K$495,$A$2:$A$495,"&lt;="&amp;$A212)-SUMIFS('Weekly Purchases'!$O$2:$O$503,'Weekly Purchases'!$B$2:$B$503,"&lt;&gt;",'Weekly Purchases'!$B$2:$B$503,"&lt;="&amp;$A212)-SUMIFS('Weekly Purchases'!$O$2:$O$503,'Weekly Purchases'!$B$2:$B$503,"",'Weekly Purchases'!$A$2:$A$503,"&lt;="&amp;$A212))</f>
        <v/>
      </c>
      <c r="N212" s="8" t="str">
        <f t="shared" si="14"/>
        <v/>
      </c>
      <c r="O212" s="8" t="str">
        <f t="shared" si="15"/>
        <v/>
      </c>
      <c r="P212" s="4"/>
    </row>
    <row r="213" spans="1:16">
      <c r="A213" s="6"/>
      <c r="B213" s="7"/>
      <c r="C213" s="7"/>
      <c r="D213" s="8" t="str">
        <f t="shared" si="12"/>
        <v/>
      </c>
      <c r="E213" s="7"/>
      <c r="F213" s="7"/>
      <c r="G213" s="7"/>
      <c r="H213" s="7"/>
      <c r="I213" s="8" t="str">
        <f t="shared" si="13"/>
        <v/>
      </c>
      <c r="J213" s="8"/>
      <c r="K213" s="8"/>
      <c r="L213" s="8" t="str">
        <f>IF($A213="","",Settings!$B$3+SUMIFS($B$2:$B$495,$A$2:$A$495,"&lt;="&amp;$A213)-SUMIFS($J$2:$J$495,$A$2:$A$495,"&lt;="&amp;$A213)-SUMIFS('Weekly Purchases'!$N$2:$N$503,'Weekly Purchases'!$B$2:$B$503,"&lt;&gt;",'Weekly Purchases'!$B$2:$B$503,"&lt;="&amp;$A213)-SUMIFS('Weekly Purchases'!$N$2:$N$503,'Weekly Purchases'!$B$2:$B$503,"",'Weekly Purchases'!$A$2:$A$503,"&lt;="&amp;$A213))</f>
        <v/>
      </c>
      <c r="M213" s="8" t="str">
        <f>IF($A213="","",Settings!$B$4+SUMIFS($C$2:$C$495,$A$2:$A$495,"&lt;="&amp;$A213)-SUMIFS($K$2:$K$495,$A$2:$A$495,"&lt;="&amp;$A213)-SUMIFS('Weekly Purchases'!$O$2:$O$503,'Weekly Purchases'!$B$2:$B$503,"&lt;&gt;",'Weekly Purchases'!$B$2:$B$503,"&lt;="&amp;$A213)-SUMIFS('Weekly Purchases'!$O$2:$O$503,'Weekly Purchases'!$B$2:$B$503,"",'Weekly Purchases'!$A$2:$A$503,"&lt;="&amp;$A213))</f>
        <v/>
      </c>
      <c r="N213" s="8" t="str">
        <f t="shared" si="14"/>
        <v/>
      </c>
      <c r="O213" s="8" t="str">
        <f t="shared" si="15"/>
        <v/>
      </c>
      <c r="P213" s="4"/>
    </row>
    <row r="214" spans="1:16">
      <c r="A214" s="6"/>
      <c r="B214" s="7"/>
      <c r="C214" s="7"/>
      <c r="D214" s="8" t="str">
        <f t="shared" si="12"/>
        <v/>
      </c>
      <c r="E214" s="7"/>
      <c r="F214" s="7"/>
      <c r="G214" s="7"/>
      <c r="H214" s="7"/>
      <c r="I214" s="8" t="str">
        <f t="shared" si="13"/>
        <v/>
      </c>
      <c r="J214" s="8"/>
      <c r="K214" s="8"/>
      <c r="L214" s="8" t="str">
        <f>IF($A214="","",Settings!$B$3+SUMIFS($B$2:$B$495,$A$2:$A$495,"&lt;="&amp;$A214)-SUMIFS($J$2:$J$495,$A$2:$A$495,"&lt;="&amp;$A214)-SUMIFS('Weekly Purchases'!$N$2:$N$503,'Weekly Purchases'!$B$2:$B$503,"&lt;&gt;",'Weekly Purchases'!$B$2:$B$503,"&lt;="&amp;$A214)-SUMIFS('Weekly Purchases'!$N$2:$N$503,'Weekly Purchases'!$B$2:$B$503,"",'Weekly Purchases'!$A$2:$A$503,"&lt;="&amp;$A214))</f>
        <v/>
      </c>
      <c r="M214" s="8" t="str">
        <f>IF($A214="","",Settings!$B$4+SUMIFS($C$2:$C$495,$A$2:$A$495,"&lt;="&amp;$A214)-SUMIFS($K$2:$K$495,$A$2:$A$495,"&lt;="&amp;$A214)-SUMIFS('Weekly Purchases'!$O$2:$O$503,'Weekly Purchases'!$B$2:$B$503,"&lt;&gt;",'Weekly Purchases'!$B$2:$B$503,"&lt;="&amp;$A214)-SUMIFS('Weekly Purchases'!$O$2:$O$503,'Weekly Purchases'!$B$2:$B$503,"",'Weekly Purchases'!$A$2:$A$503,"&lt;="&amp;$A214))</f>
        <v/>
      </c>
      <c r="N214" s="8" t="str">
        <f t="shared" si="14"/>
        <v/>
      </c>
      <c r="O214" s="8" t="str">
        <f t="shared" si="15"/>
        <v/>
      </c>
      <c r="P214" s="4"/>
    </row>
    <row r="215" spans="1:16">
      <c r="A215" s="6"/>
      <c r="B215" s="7"/>
      <c r="C215" s="7"/>
      <c r="D215" s="8" t="str">
        <f t="shared" si="12"/>
        <v/>
      </c>
      <c r="E215" s="7"/>
      <c r="F215" s="7"/>
      <c r="G215" s="7"/>
      <c r="H215" s="7"/>
      <c r="I215" s="8" t="str">
        <f t="shared" si="13"/>
        <v/>
      </c>
      <c r="J215" s="8"/>
      <c r="K215" s="8"/>
      <c r="L215" s="8" t="str">
        <f>IF($A215="","",Settings!$B$3+SUMIFS($B$2:$B$495,$A$2:$A$495,"&lt;="&amp;$A215)-SUMIFS($J$2:$J$495,$A$2:$A$495,"&lt;="&amp;$A215)-SUMIFS('Weekly Purchases'!$N$2:$N$503,'Weekly Purchases'!$B$2:$B$503,"&lt;&gt;",'Weekly Purchases'!$B$2:$B$503,"&lt;="&amp;$A215)-SUMIFS('Weekly Purchases'!$N$2:$N$503,'Weekly Purchases'!$B$2:$B$503,"",'Weekly Purchases'!$A$2:$A$503,"&lt;="&amp;$A215))</f>
        <v/>
      </c>
      <c r="M215" s="8" t="str">
        <f>IF($A215="","",Settings!$B$4+SUMIFS($C$2:$C$495,$A$2:$A$495,"&lt;="&amp;$A215)-SUMIFS($K$2:$K$495,$A$2:$A$495,"&lt;="&amp;$A215)-SUMIFS('Weekly Purchases'!$O$2:$O$503,'Weekly Purchases'!$B$2:$B$503,"&lt;&gt;",'Weekly Purchases'!$B$2:$B$503,"&lt;="&amp;$A215)-SUMIFS('Weekly Purchases'!$O$2:$O$503,'Weekly Purchases'!$B$2:$B$503,"",'Weekly Purchases'!$A$2:$A$503,"&lt;="&amp;$A215))</f>
        <v/>
      </c>
      <c r="N215" s="8" t="str">
        <f t="shared" si="14"/>
        <v/>
      </c>
      <c r="O215" s="8" t="str">
        <f t="shared" si="15"/>
        <v/>
      </c>
      <c r="P215" s="4"/>
    </row>
    <row r="216" spans="1:16">
      <c r="A216" s="6"/>
      <c r="B216" s="7"/>
      <c r="C216" s="7"/>
      <c r="D216" s="8" t="str">
        <f t="shared" si="12"/>
        <v/>
      </c>
      <c r="E216" s="7"/>
      <c r="F216" s="7"/>
      <c r="G216" s="7"/>
      <c r="H216" s="7"/>
      <c r="I216" s="8" t="str">
        <f t="shared" si="13"/>
        <v/>
      </c>
      <c r="J216" s="8"/>
      <c r="K216" s="8"/>
      <c r="L216" s="8" t="str">
        <f>IF($A216="","",Settings!$B$3+SUMIFS($B$2:$B$495,$A$2:$A$495,"&lt;="&amp;$A216)-SUMIFS($J$2:$J$495,$A$2:$A$495,"&lt;="&amp;$A216)-SUMIFS('Weekly Purchases'!$N$2:$N$503,'Weekly Purchases'!$B$2:$B$503,"&lt;&gt;",'Weekly Purchases'!$B$2:$B$503,"&lt;="&amp;$A216)-SUMIFS('Weekly Purchases'!$N$2:$N$503,'Weekly Purchases'!$B$2:$B$503,"",'Weekly Purchases'!$A$2:$A$503,"&lt;="&amp;$A216))</f>
        <v/>
      </c>
      <c r="M216" s="8" t="str">
        <f>IF($A216="","",Settings!$B$4+SUMIFS($C$2:$C$495,$A$2:$A$495,"&lt;="&amp;$A216)-SUMIFS($K$2:$K$495,$A$2:$A$495,"&lt;="&amp;$A216)-SUMIFS('Weekly Purchases'!$O$2:$O$503,'Weekly Purchases'!$B$2:$B$503,"&lt;&gt;",'Weekly Purchases'!$B$2:$B$503,"&lt;="&amp;$A216)-SUMIFS('Weekly Purchases'!$O$2:$O$503,'Weekly Purchases'!$B$2:$B$503,"",'Weekly Purchases'!$A$2:$A$503,"&lt;="&amp;$A216))</f>
        <v/>
      </c>
      <c r="N216" s="8" t="str">
        <f t="shared" si="14"/>
        <v/>
      </c>
      <c r="O216" s="8" t="str">
        <f t="shared" si="15"/>
        <v/>
      </c>
      <c r="P216" s="4"/>
    </row>
    <row r="217" spans="1:16">
      <c r="A217" s="6"/>
      <c r="B217" s="7"/>
      <c r="C217" s="7"/>
      <c r="D217" s="8" t="str">
        <f t="shared" si="12"/>
        <v/>
      </c>
      <c r="E217" s="7"/>
      <c r="F217" s="7"/>
      <c r="G217" s="7"/>
      <c r="H217" s="7"/>
      <c r="I217" s="8" t="str">
        <f t="shared" si="13"/>
        <v/>
      </c>
      <c r="J217" s="8"/>
      <c r="K217" s="8"/>
      <c r="L217" s="8" t="str">
        <f>IF($A217="","",Settings!$B$3+SUMIFS($B$2:$B$495,$A$2:$A$495,"&lt;="&amp;$A217)-SUMIFS($J$2:$J$495,$A$2:$A$495,"&lt;="&amp;$A217)-SUMIFS('Weekly Purchases'!$N$2:$N$503,'Weekly Purchases'!$B$2:$B$503,"&lt;&gt;",'Weekly Purchases'!$B$2:$B$503,"&lt;="&amp;$A217)-SUMIFS('Weekly Purchases'!$N$2:$N$503,'Weekly Purchases'!$B$2:$B$503,"",'Weekly Purchases'!$A$2:$A$503,"&lt;="&amp;$A217))</f>
        <v/>
      </c>
      <c r="M217" s="8" t="str">
        <f>IF($A217="","",Settings!$B$4+SUMIFS($C$2:$C$495,$A$2:$A$495,"&lt;="&amp;$A217)-SUMIFS($K$2:$K$495,$A$2:$A$495,"&lt;="&amp;$A217)-SUMIFS('Weekly Purchases'!$O$2:$O$503,'Weekly Purchases'!$B$2:$B$503,"&lt;&gt;",'Weekly Purchases'!$B$2:$B$503,"&lt;="&amp;$A217)-SUMIFS('Weekly Purchases'!$O$2:$O$503,'Weekly Purchases'!$B$2:$B$503,"",'Weekly Purchases'!$A$2:$A$503,"&lt;="&amp;$A217))</f>
        <v/>
      </c>
      <c r="N217" s="8" t="str">
        <f t="shared" si="14"/>
        <v/>
      </c>
      <c r="O217" s="8" t="str">
        <f t="shared" si="15"/>
        <v/>
      </c>
      <c r="P217" s="4"/>
    </row>
    <row r="218" spans="1:16">
      <c r="A218" s="6"/>
      <c r="B218" s="7"/>
      <c r="C218" s="7"/>
      <c r="D218" s="8" t="str">
        <f t="shared" si="12"/>
        <v/>
      </c>
      <c r="E218" s="7"/>
      <c r="F218" s="7"/>
      <c r="G218" s="7"/>
      <c r="H218" s="7"/>
      <c r="I218" s="8" t="str">
        <f t="shared" si="13"/>
        <v/>
      </c>
      <c r="J218" s="8"/>
      <c r="K218" s="8"/>
      <c r="L218" s="8" t="str">
        <f>IF($A218="","",Settings!$B$3+SUMIFS($B$2:$B$495,$A$2:$A$495,"&lt;="&amp;$A218)-SUMIFS($J$2:$J$495,$A$2:$A$495,"&lt;="&amp;$A218)-SUMIFS('Weekly Purchases'!$N$2:$N$503,'Weekly Purchases'!$B$2:$B$503,"&lt;&gt;",'Weekly Purchases'!$B$2:$B$503,"&lt;="&amp;$A218)-SUMIFS('Weekly Purchases'!$N$2:$N$503,'Weekly Purchases'!$B$2:$B$503,"",'Weekly Purchases'!$A$2:$A$503,"&lt;="&amp;$A218))</f>
        <v/>
      </c>
      <c r="M218" s="8" t="str">
        <f>IF($A218="","",Settings!$B$4+SUMIFS($C$2:$C$495,$A$2:$A$495,"&lt;="&amp;$A218)-SUMIFS($K$2:$K$495,$A$2:$A$495,"&lt;="&amp;$A218)-SUMIFS('Weekly Purchases'!$O$2:$O$503,'Weekly Purchases'!$B$2:$B$503,"&lt;&gt;",'Weekly Purchases'!$B$2:$B$503,"&lt;="&amp;$A218)-SUMIFS('Weekly Purchases'!$O$2:$O$503,'Weekly Purchases'!$B$2:$B$503,"",'Weekly Purchases'!$A$2:$A$503,"&lt;="&amp;$A218))</f>
        <v/>
      </c>
      <c r="N218" s="8" t="str">
        <f t="shared" si="14"/>
        <v/>
      </c>
      <c r="O218" s="8" t="str">
        <f t="shared" si="15"/>
        <v/>
      </c>
      <c r="P218" s="4"/>
    </row>
    <row r="219" spans="1:16">
      <c r="A219" s="6"/>
      <c r="B219" s="7"/>
      <c r="C219" s="7"/>
      <c r="D219" s="8" t="str">
        <f t="shared" si="12"/>
        <v/>
      </c>
      <c r="E219" s="7"/>
      <c r="F219" s="7"/>
      <c r="G219" s="7"/>
      <c r="H219" s="7"/>
      <c r="I219" s="8" t="str">
        <f t="shared" si="13"/>
        <v/>
      </c>
      <c r="J219" s="8"/>
      <c r="K219" s="8"/>
      <c r="L219" s="8" t="str">
        <f>IF($A219="","",Settings!$B$3+SUMIFS($B$2:$B$495,$A$2:$A$495,"&lt;="&amp;$A219)-SUMIFS($J$2:$J$495,$A$2:$A$495,"&lt;="&amp;$A219)-SUMIFS('Weekly Purchases'!$N$2:$N$503,'Weekly Purchases'!$B$2:$B$503,"&lt;&gt;",'Weekly Purchases'!$B$2:$B$503,"&lt;="&amp;$A219)-SUMIFS('Weekly Purchases'!$N$2:$N$503,'Weekly Purchases'!$B$2:$B$503,"",'Weekly Purchases'!$A$2:$A$503,"&lt;="&amp;$A219))</f>
        <v/>
      </c>
      <c r="M219" s="8" t="str">
        <f>IF($A219="","",Settings!$B$4+SUMIFS($C$2:$C$495,$A$2:$A$495,"&lt;="&amp;$A219)-SUMIFS($K$2:$K$495,$A$2:$A$495,"&lt;="&amp;$A219)-SUMIFS('Weekly Purchases'!$O$2:$O$503,'Weekly Purchases'!$B$2:$B$503,"&lt;&gt;",'Weekly Purchases'!$B$2:$B$503,"&lt;="&amp;$A219)-SUMIFS('Weekly Purchases'!$O$2:$O$503,'Weekly Purchases'!$B$2:$B$503,"",'Weekly Purchases'!$A$2:$A$503,"&lt;="&amp;$A219))</f>
        <v/>
      </c>
      <c r="N219" s="8" t="str">
        <f t="shared" si="14"/>
        <v/>
      </c>
      <c r="O219" s="8" t="str">
        <f t="shared" si="15"/>
        <v/>
      </c>
      <c r="P219" s="4"/>
    </row>
    <row r="220" spans="1:16">
      <c r="A220" s="6"/>
      <c r="B220" s="7"/>
      <c r="C220" s="7"/>
      <c r="D220" s="8" t="str">
        <f t="shared" si="12"/>
        <v/>
      </c>
      <c r="E220" s="7"/>
      <c r="F220" s="7"/>
      <c r="G220" s="7"/>
      <c r="H220" s="7"/>
      <c r="I220" s="8" t="str">
        <f t="shared" si="13"/>
        <v/>
      </c>
      <c r="J220" s="8"/>
      <c r="K220" s="8"/>
      <c r="L220" s="8" t="str">
        <f>IF($A220="","",Settings!$B$3+SUMIFS($B$2:$B$495,$A$2:$A$495,"&lt;="&amp;$A220)-SUMIFS($J$2:$J$495,$A$2:$A$495,"&lt;="&amp;$A220)-SUMIFS('Weekly Purchases'!$N$2:$N$503,'Weekly Purchases'!$B$2:$B$503,"&lt;&gt;",'Weekly Purchases'!$B$2:$B$503,"&lt;="&amp;$A220)-SUMIFS('Weekly Purchases'!$N$2:$N$503,'Weekly Purchases'!$B$2:$B$503,"",'Weekly Purchases'!$A$2:$A$503,"&lt;="&amp;$A220))</f>
        <v/>
      </c>
      <c r="M220" s="8" t="str">
        <f>IF($A220="","",Settings!$B$4+SUMIFS($C$2:$C$495,$A$2:$A$495,"&lt;="&amp;$A220)-SUMIFS($K$2:$K$495,$A$2:$A$495,"&lt;="&amp;$A220)-SUMIFS('Weekly Purchases'!$O$2:$O$503,'Weekly Purchases'!$B$2:$B$503,"&lt;&gt;",'Weekly Purchases'!$B$2:$B$503,"&lt;="&amp;$A220)-SUMIFS('Weekly Purchases'!$O$2:$O$503,'Weekly Purchases'!$B$2:$B$503,"",'Weekly Purchases'!$A$2:$A$503,"&lt;="&amp;$A220))</f>
        <v/>
      </c>
      <c r="N220" s="8" t="str">
        <f t="shared" si="14"/>
        <v/>
      </c>
      <c r="O220" s="8" t="str">
        <f t="shared" si="15"/>
        <v/>
      </c>
      <c r="P220" s="4"/>
    </row>
    <row r="221" spans="1:16">
      <c r="A221" s="6"/>
      <c r="B221" s="7"/>
      <c r="C221" s="7"/>
      <c r="D221" s="8" t="str">
        <f t="shared" si="12"/>
        <v/>
      </c>
      <c r="E221" s="7"/>
      <c r="F221" s="7"/>
      <c r="G221" s="7"/>
      <c r="H221" s="7"/>
      <c r="I221" s="8" t="str">
        <f t="shared" si="13"/>
        <v/>
      </c>
      <c r="J221" s="8"/>
      <c r="K221" s="8"/>
      <c r="L221" s="8" t="str">
        <f>IF($A221="","",Settings!$B$3+SUMIFS($B$2:$B$495,$A$2:$A$495,"&lt;="&amp;$A221)-SUMIFS($J$2:$J$495,$A$2:$A$495,"&lt;="&amp;$A221)-SUMIFS('Weekly Purchases'!$N$2:$N$503,'Weekly Purchases'!$B$2:$B$503,"&lt;&gt;",'Weekly Purchases'!$B$2:$B$503,"&lt;="&amp;$A221)-SUMIFS('Weekly Purchases'!$N$2:$N$503,'Weekly Purchases'!$B$2:$B$503,"",'Weekly Purchases'!$A$2:$A$503,"&lt;="&amp;$A221))</f>
        <v/>
      </c>
      <c r="M221" s="8" t="str">
        <f>IF($A221="","",Settings!$B$4+SUMIFS($C$2:$C$495,$A$2:$A$495,"&lt;="&amp;$A221)-SUMIFS($K$2:$K$495,$A$2:$A$495,"&lt;="&amp;$A221)-SUMIFS('Weekly Purchases'!$O$2:$O$503,'Weekly Purchases'!$B$2:$B$503,"&lt;&gt;",'Weekly Purchases'!$B$2:$B$503,"&lt;="&amp;$A221)-SUMIFS('Weekly Purchases'!$O$2:$O$503,'Weekly Purchases'!$B$2:$B$503,"",'Weekly Purchases'!$A$2:$A$503,"&lt;="&amp;$A221))</f>
        <v/>
      </c>
      <c r="N221" s="8" t="str">
        <f t="shared" si="14"/>
        <v/>
      </c>
      <c r="O221" s="8" t="str">
        <f t="shared" si="15"/>
        <v/>
      </c>
      <c r="P221" s="4"/>
    </row>
    <row r="222" spans="1:16">
      <c r="A222" s="6"/>
      <c r="B222" s="7"/>
      <c r="C222" s="7"/>
      <c r="D222" s="8" t="str">
        <f t="shared" si="12"/>
        <v/>
      </c>
      <c r="E222" s="7"/>
      <c r="F222" s="7"/>
      <c r="G222" s="7"/>
      <c r="H222" s="7"/>
      <c r="I222" s="8" t="str">
        <f t="shared" si="13"/>
        <v/>
      </c>
      <c r="J222" s="8"/>
      <c r="K222" s="8"/>
      <c r="L222" s="8" t="str">
        <f>IF($A222="","",Settings!$B$3+SUMIFS($B$2:$B$495,$A$2:$A$495,"&lt;="&amp;$A222)-SUMIFS($J$2:$J$495,$A$2:$A$495,"&lt;="&amp;$A222)-SUMIFS('Weekly Purchases'!$N$2:$N$503,'Weekly Purchases'!$B$2:$B$503,"&lt;&gt;",'Weekly Purchases'!$B$2:$B$503,"&lt;="&amp;$A222)-SUMIFS('Weekly Purchases'!$N$2:$N$503,'Weekly Purchases'!$B$2:$B$503,"",'Weekly Purchases'!$A$2:$A$503,"&lt;="&amp;$A222))</f>
        <v/>
      </c>
      <c r="M222" s="8" t="str">
        <f>IF($A222="","",Settings!$B$4+SUMIFS($C$2:$C$495,$A$2:$A$495,"&lt;="&amp;$A222)-SUMIFS($K$2:$K$495,$A$2:$A$495,"&lt;="&amp;$A222)-SUMIFS('Weekly Purchases'!$O$2:$O$503,'Weekly Purchases'!$B$2:$B$503,"&lt;&gt;",'Weekly Purchases'!$B$2:$B$503,"&lt;="&amp;$A222)-SUMIFS('Weekly Purchases'!$O$2:$O$503,'Weekly Purchases'!$B$2:$B$503,"",'Weekly Purchases'!$A$2:$A$503,"&lt;="&amp;$A222))</f>
        <v/>
      </c>
      <c r="N222" s="8" t="str">
        <f t="shared" si="14"/>
        <v/>
      </c>
      <c r="O222" s="8" t="str">
        <f t="shared" si="15"/>
        <v/>
      </c>
      <c r="P222" s="4"/>
    </row>
    <row r="223" spans="1:16">
      <c r="A223" s="6"/>
      <c r="B223" s="7"/>
      <c r="C223" s="7"/>
      <c r="D223" s="8" t="str">
        <f t="shared" si="12"/>
        <v/>
      </c>
      <c r="E223" s="7"/>
      <c r="F223" s="7"/>
      <c r="G223" s="7"/>
      <c r="H223" s="7"/>
      <c r="I223" s="8" t="str">
        <f t="shared" si="13"/>
        <v/>
      </c>
      <c r="J223" s="8"/>
      <c r="K223" s="8"/>
      <c r="L223" s="8" t="str">
        <f>IF($A223="","",Settings!$B$3+SUMIFS($B$2:$B$495,$A$2:$A$495,"&lt;="&amp;$A223)-SUMIFS($J$2:$J$495,$A$2:$A$495,"&lt;="&amp;$A223)-SUMIFS('Weekly Purchases'!$N$2:$N$503,'Weekly Purchases'!$B$2:$B$503,"&lt;&gt;",'Weekly Purchases'!$B$2:$B$503,"&lt;="&amp;$A223)-SUMIFS('Weekly Purchases'!$N$2:$N$503,'Weekly Purchases'!$B$2:$B$503,"",'Weekly Purchases'!$A$2:$A$503,"&lt;="&amp;$A223))</f>
        <v/>
      </c>
      <c r="M223" s="8" t="str">
        <f>IF($A223="","",Settings!$B$4+SUMIFS($C$2:$C$495,$A$2:$A$495,"&lt;="&amp;$A223)-SUMIFS($K$2:$K$495,$A$2:$A$495,"&lt;="&amp;$A223)-SUMIFS('Weekly Purchases'!$O$2:$O$503,'Weekly Purchases'!$B$2:$B$503,"&lt;&gt;",'Weekly Purchases'!$B$2:$B$503,"&lt;="&amp;$A223)-SUMIFS('Weekly Purchases'!$O$2:$O$503,'Weekly Purchases'!$B$2:$B$503,"",'Weekly Purchases'!$A$2:$A$503,"&lt;="&amp;$A223))</f>
        <v/>
      </c>
      <c r="N223" s="8" t="str">
        <f t="shared" si="14"/>
        <v/>
      </c>
      <c r="O223" s="8" t="str">
        <f t="shared" si="15"/>
        <v/>
      </c>
      <c r="P223" s="4"/>
    </row>
    <row r="224" spans="1:16">
      <c r="A224" s="6"/>
      <c r="B224" s="7"/>
      <c r="C224" s="7"/>
      <c r="D224" s="8" t="str">
        <f t="shared" si="12"/>
        <v/>
      </c>
      <c r="E224" s="7"/>
      <c r="F224" s="7"/>
      <c r="G224" s="7"/>
      <c r="H224" s="7"/>
      <c r="I224" s="8" t="str">
        <f t="shared" si="13"/>
        <v/>
      </c>
      <c r="J224" s="8"/>
      <c r="K224" s="8"/>
      <c r="L224" s="8" t="str">
        <f>IF($A224="","",Settings!$B$3+SUMIFS($B$2:$B$495,$A$2:$A$495,"&lt;="&amp;$A224)-SUMIFS($J$2:$J$495,$A$2:$A$495,"&lt;="&amp;$A224)-SUMIFS('Weekly Purchases'!$N$2:$N$503,'Weekly Purchases'!$B$2:$B$503,"&lt;&gt;",'Weekly Purchases'!$B$2:$B$503,"&lt;="&amp;$A224)-SUMIFS('Weekly Purchases'!$N$2:$N$503,'Weekly Purchases'!$B$2:$B$503,"",'Weekly Purchases'!$A$2:$A$503,"&lt;="&amp;$A224))</f>
        <v/>
      </c>
      <c r="M224" s="8" t="str">
        <f>IF($A224="","",Settings!$B$4+SUMIFS($C$2:$C$495,$A$2:$A$495,"&lt;="&amp;$A224)-SUMIFS($K$2:$K$495,$A$2:$A$495,"&lt;="&amp;$A224)-SUMIFS('Weekly Purchases'!$O$2:$O$503,'Weekly Purchases'!$B$2:$B$503,"&lt;&gt;",'Weekly Purchases'!$B$2:$B$503,"&lt;="&amp;$A224)-SUMIFS('Weekly Purchases'!$O$2:$O$503,'Weekly Purchases'!$B$2:$B$503,"",'Weekly Purchases'!$A$2:$A$503,"&lt;="&amp;$A224))</f>
        <v/>
      </c>
      <c r="N224" s="8" t="str">
        <f t="shared" si="14"/>
        <v/>
      </c>
      <c r="O224" s="8" t="str">
        <f t="shared" si="15"/>
        <v/>
      </c>
      <c r="P224" s="4"/>
    </row>
    <row r="225" spans="1:16">
      <c r="A225" s="6"/>
      <c r="B225" s="7"/>
      <c r="C225" s="7"/>
      <c r="D225" s="8" t="str">
        <f t="shared" si="12"/>
        <v/>
      </c>
      <c r="E225" s="7"/>
      <c r="F225" s="7"/>
      <c r="G225" s="7"/>
      <c r="H225" s="7"/>
      <c r="I225" s="8" t="str">
        <f t="shared" si="13"/>
        <v/>
      </c>
      <c r="J225" s="8"/>
      <c r="K225" s="8"/>
      <c r="L225" s="8" t="str">
        <f>IF($A225="","",Settings!$B$3+SUMIFS($B$2:$B$495,$A$2:$A$495,"&lt;="&amp;$A225)-SUMIFS($J$2:$J$495,$A$2:$A$495,"&lt;="&amp;$A225)-SUMIFS('Weekly Purchases'!$N$2:$N$503,'Weekly Purchases'!$B$2:$B$503,"&lt;&gt;",'Weekly Purchases'!$B$2:$B$503,"&lt;="&amp;$A225)-SUMIFS('Weekly Purchases'!$N$2:$N$503,'Weekly Purchases'!$B$2:$B$503,"",'Weekly Purchases'!$A$2:$A$503,"&lt;="&amp;$A225))</f>
        <v/>
      </c>
      <c r="M225" s="8" t="str">
        <f>IF($A225="","",Settings!$B$4+SUMIFS($C$2:$C$495,$A$2:$A$495,"&lt;="&amp;$A225)-SUMIFS($K$2:$K$495,$A$2:$A$495,"&lt;="&amp;$A225)-SUMIFS('Weekly Purchases'!$O$2:$O$503,'Weekly Purchases'!$B$2:$B$503,"&lt;&gt;",'Weekly Purchases'!$B$2:$B$503,"&lt;="&amp;$A225)-SUMIFS('Weekly Purchases'!$O$2:$O$503,'Weekly Purchases'!$B$2:$B$503,"",'Weekly Purchases'!$A$2:$A$503,"&lt;="&amp;$A225))</f>
        <v/>
      </c>
      <c r="N225" s="8" t="str">
        <f t="shared" si="14"/>
        <v/>
      </c>
      <c r="O225" s="8" t="str">
        <f t="shared" si="15"/>
        <v/>
      </c>
      <c r="P225" s="4"/>
    </row>
    <row r="226" spans="1:16">
      <c r="A226" s="6"/>
      <c r="B226" s="7"/>
      <c r="C226" s="7"/>
      <c r="D226" s="8" t="str">
        <f t="shared" si="12"/>
        <v/>
      </c>
      <c r="E226" s="7"/>
      <c r="F226" s="7"/>
      <c r="G226" s="7"/>
      <c r="H226" s="7"/>
      <c r="I226" s="8" t="str">
        <f t="shared" si="13"/>
        <v/>
      </c>
      <c r="J226" s="8"/>
      <c r="K226" s="8"/>
      <c r="L226" s="8" t="str">
        <f>IF($A226="","",Settings!$B$3+SUMIFS($B$2:$B$495,$A$2:$A$495,"&lt;="&amp;$A226)-SUMIFS($J$2:$J$495,$A$2:$A$495,"&lt;="&amp;$A226)-SUMIFS('Weekly Purchases'!$N$2:$N$503,'Weekly Purchases'!$B$2:$B$503,"&lt;&gt;",'Weekly Purchases'!$B$2:$B$503,"&lt;="&amp;$A226)-SUMIFS('Weekly Purchases'!$N$2:$N$503,'Weekly Purchases'!$B$2:$B$503,"",'Weekly Purchases'!$A$2:$A$503,"&lt;="&amp;$A226))</f>
        <v/>
      </c>
      <c r="M226" s="8" t="str">
        <f>IF($A226="","",Settings!$B$4+SUMIFS($C$2:$C$495,$A$2:$A$495,"&lt;="&amp;$A226)-SUMIFS($K$2:$K$495,$A$2:$A$495,"&lt;="&amp;$A226)-SUMIFS('Weekly Purchases'!$O$2:$O$503,'Weekly Purchases'!$B$2:$B$503,"&lt;&gt;",'Weekly Purchases'!$B$2:$B$503,"&lt;="&amp;$A226)-SUMIFS('Weekly Purchases'!$O$2:$O$503,'Weekly Purchases'!$B$2:$B$503,"",'Weekly Purchases'!$A$2:$A$503,"&lt;="&amp;$A226))</f>
        <v/>
      </c>
      <c r="N226" s="8" t="str">
        <f t="shared" si="14"/>
        <v/>
      </c>
      <c r="O226" s="8" t="str">
        <f t="shared" si="15"/>
        <v/>
      </c>
      <c r="P226" s="4"/>
    </row>
    <row r="227" spans="1:16">
      <c r="A227" s="6"/>
      <c r="B227" s="7"/>
      <c r="C227" s="7"/>
      <c r="D227" s="8" t="str">
        <f t="shared" si="12"/>
        <v/>
      </c>
      <c r="E227" s="7"/>
      <c r="F227" s="7"/>
      <c r="G227" s="7"/>
      <c r="H227" s="7"/>
      <c r="I227" s="8" t="str">
        <f t="shared" si="13"/>
        <v/>
      </c>
      <c r="J227" s="8"/>
      <c r="K227" s="8"/>
      <c r="L227" s="8" t="str">
        <f>IF($A227="","",Settings!$B$3+SUMIFS($B$2:$B$495,$A$2:$A$495,"&lt;="&amp;$A227)-SUMIFS($J$2:$J$495,$A$2:$A$495,"&lt;="&amp;$A227)-SUMIFS('Weekly Purchases'!$N$2:$N$503,'Weekly Purchases'!$B$2:$B$503,"&lt;&gt;",'Weekly Purchases'!$B$2:$B$503,"&lt;="&amp;$A227)-SUMIFS('Weekly Purchases'!$N$2:$N$503,'Weekly Purchases'!$B$2:$B$503,"",'Weekly Purchases'!$A$2:$A$503,"&lt;="&amp;$A227))</f>
        <v/>
      </c>
      <c r="M227" s="8" t="str">
        <f>IF($A227="","",Settings!$B$4+SUMIFS($C$2:$C$495,$A$2:$A$495,"&lt;="&amp;$A227)-SUMIFS($K$2:$K$495,$A$2:$A$495,"&lt;="&amp;$A227)-SUMIFS('Weekly Purchases'!$O$2:$O$503,'Weekly Purchases'!$B$2:$B$503,"&lt;&gt;",'Weekly Purchases'!$B$2:$B$503,"&lt;="&amp;$A227)-SUMIFS('Weekly Purchases'!$O$2:$O$503,'Weekly Purchases'!$B$2:$B$503,"",'Weekly Purchases'!$A$2:$A$503,"&lt;="&amp;$A227))</f>
        <v/>
      </c>
      <c r="N227" s="8" t="str">
        <f t="shared" si="14"/>
        <v/>
      </c>
      <c r="O227" s="8" t="str">
        <f t="shared" si="15"/>
        <v/>
      </c>
      <c r="P227" s="4"/>
    </row>
    <row r="228" spans="1:16">
      <c r="A228" s="6"/>
      <c r="B228" s="7"/>
      <c r="C228" s="7"/>
      <c r="D228" s="8" t="str">
        <f t="shared" si="12"/>
        <v/>
      </c>
      <c r="E228" s="7"/>
      <c r="F228" s="7"/>
      <c r="G228" s="7"/>
      <c r="H228" s="7"/>
      <c r="I228" s="8" t="str">
        <f t="shared" si="13"/>
        <v/>
      </c>
      <c r="J228" s="8"/>
      <c r="K228" s="8"/>
      <c r="L228" s="8" t="str">
        <f>IF($A228="","",Settings!$B$3+SUMIFS($B$2:$B$495,$A$2:$A$495,"&lt;="&amp;$A228)-SUMIFS($J$2:$J$495,$A$2:$A$495,"&lt;="&amp;$A228)-SUMIFS('Weekly Purchases'!$N$2:$N$503,'Weekly Purchases'!$B$2:$B$503,"&lt;&gt;",'Weekly Purchases'!$B$2:$B$503,"&lt;="&amp;$A228)-SUMIFS('Weekly Purchases'!$N$2:$N$503,'Weekly Purchases'!$B$2:$B$503,"",'Weekly Purchases'!$A$2:$A$503,"&lt;="&amp;$A228))</f>
        <v/>
      </c>
      <c r="M228" s="8" t="str">
        <f>IF($A228="","",Settings!$B$4+SUMIFS($C$2:$C$495,$A$2:$A$495,"&lt;="&amp;$A228)-SUMIFS($K$2:$K$495,$A$2:$A$495,"&lt;="&amp;$A228)-SUMIFS('Weekly Purchases'!$O$2:$O$503,'Weekly Purchases'!$B$2:$B$503,"&lt;&gt;",'Weekly Purchases'!$B$2:$B$503,"&lt;="&amp;$A228)-SUMIFS('Weekly Purchases'!$O$2:$O$503,'Weekly Purchases'!$B$2:$B$503,"",'Weekly Purchases'!$A$2:$A$503,"&lt;="&amp;$A228))</f>
        <v/>
      </c>
      <c r="N228" s="8" t="str">
        <f t="shared" si="14"/>
        <v/>
      </c>
      <c r="O228" s="8" t="str">
        <f t="shared" si="15"/>
        <v/>
      </c>
      <c r="P228" s="4"/>
    </row>
    <row r="229" spans="1:16">
      <c r="A229" s="6"/>
      <c r="B229" s="7"/>
      <c r="C229" s="7"/>
      <c r="D229" s="8" t="str">
        <f t="shared" si="12"/>
        <v/>
      </c>
      <c r="E229" s="7"/>
      <c r="F229" s="7"/>
      <c r="G229" s="7"/>
      <c r="H229" s="7"/>
      <c r="I229" s="8" t="str">
        <f t="shared" si="13"/>
        <v/>
      </c>
      <c r="J229" s="8"/>
      <c r="K229" s="8"/>
      <c r="L229" s="8" t="str">
        <f>IF($A229="","",Settings!$B$3+SUMIFS($B$2:$B$495,$A$2:$A$495,"&lt;="&amp;$A229)-SUMIFS($J$2:$J$495,$A$2:$A$495,"&lt;="&amp;$A229)-SUMIFS('Weekly Purchases'!$N$2:$N$503,'Weekly Purchases'!$B$2:$B$503,"&lt;&gt;",'Weekly Purchases'!$B$2:$B$503,"&lt;="&amp;$A229)-SUMIFS('Weekly Purchases'!$N$2:$N$503,'Weekly Purchases'!$B$2:$B$503,"",'Weekly Purchases'!$A$2:$A$503,"&lt;="&amp;$A229))</f>
        <v/>
      </c>
      <c r="M229" s="8" t="str">
        <f>IF($A229="","",Settings!$B$4+SUMIFS($C$2:$C$495,$A$2:$A$495,"&lt;="&amp;$A229)-SUMIFS($K$2:$K$495,$A$2:$A$495,"&lt;="&amp;$A229)-SUMIFS('Weekly Purchases'!$O$2:$O$503,'Weekly Purchases'!$B$2:$B$503,"&lt;&gt;",'Weekly Purchases'!$B$2:$B$503,"&lt;="&amp;$A229)-SUMIFS('Weekly Purchases'!$O$2:$O$503,'Weekly Purchases'!$B$2:$B$503,"",'Weekly Purchases'!$A$2:$A$503,"&lt;="&amp;$A229))</f>
        <v/>
      </c>
      <c r="N229" s="8" t="str">
        <f t="shared" si="14"/>
        <v/>
      </c>
      <c r="O229" s="8" t="str">
        <f t="shared" si="15"/>
        <v/>
      </c>
      <c r="P229" s="4"/>
    </row>
    <row r="230" spans="1:16">
      <c r="A230" s="6"/>
      <c r="B230" s="7"/>
      <c r="C230" s="7"/>
      <c r="D230" s="8" t="str">
        <f t="shared" si="12"/>
        <v/>
      </c>
      <c r="E230" s="7"/>
      <c r="F230" s="7"/>
      <c r="G230" s="7"/>
      <c r="H230" s="7"/>
      <c r="I230" s="8" t="str">
        <f t="shared" si="13"/>
        <v/>
      </c>
      <c r="J230" s="8"/>
      <c r="K230" s="8"/>
      <c r="L230" s="8" t="str">
        <f>IF($A230="","",Settings!$B$3+SUMIFS($B$2:$B$495,$A$2:$A$495,"&lt;="&amp;$A230)-SUMIFS($J$2:$J$495,$A$2:$A$495,"&lt;="&amp;$A230)-SUMIFS('Weekly Purchases'!$N$2:$N$503,'Weekly Purchases'!$B$2:$B$503,"&lt;&gt;",'Weekly Purchases'!$B$2:$B$503,"&lt;="&amp;$A230)-SUMIFS('Weekly Purchases'!$N$2:$N$503,'Weekly Purchases'!$B$2:$B$503,"",'Weekly Purchases'!$A$2:$A$503,"&lt;="&amp;$A230))</f>
        <v/>
      </c>
      <c r="M230" s="8" t="str">
        <f>IF($A230="","",Settings!$B$4+SUMIFS($C$2:$C$495,$A$2:$A$495,"&lt;="&amp;$A230)-SUMIFS($K$2:$K$495,$A$2:$A$495,"&lt;="&amp;$A230)-SUMIFS('Weekly Purchases'!$O$2:$O$503,'Weekly Purchases'!$B$2:$B$503,"&lt;&gt;",'Weekly Purchases'!$B$2:$B$503,"&lt;="&amp;$A230)-SUMIFS('Weekly Purchases'!$O$2:$O$503,'Weekly Purchases'!$B$2:$B$503,"",'Weekly Purchases'!$A$2:$A$503,"&lt;="&amp;$A230))</f>
        <v/>
      </c>
      <c r="N230" s="8" t="str">
        <f t="shared" si="14"/>
        <v/>
      </c>
      <c r="O230" s="8" t="str">
        <f t="shared" si="15"/>
        <v/>
      </c>
      <c r="P230" s="4"/>
    </row>
    <row r="231" spans="1:16">
      <c r="A231" s="6"/>
      <c r="B231" s="7"/>
      <c r="C231" s="7"/>
      <c r="D231" s="8" t="str">
        <f t="shared" si="12"/>
        <v/>
      </c>
      <c r="E231" s="7"/>
      <c r="F231" s="7"/>
      <c r="G231" s="7"/>
      <c r="H231" s="7"/>
      <c r="I231" s="8" t="str">
        <f t="shared" si="13"/>
        <v/>
      </c>
      <c r="J231" s="8"/>
      <c r="K231" s="8"/>
      <c r="L231" s="8" t="str">
        <f>IF($A231="","",Settings!$B$3+SUMIFS($B$2:$B$495,$A$2:$A$495,"&lt;="&amp;$A231)-SUMIFS($J$2:$J$495,$A$2:$A$495,"&lt;="&amp;$A231)-SUMIFS('Weekly Purchases'!$N$2:$N$503,'Weekly Purchases'!$B$2:$B$503,"&lt;&gt;",'Weekly Purchases'!$B$2:$B$503,"&lt;="&amp;$A231)-SUMIFS('Weekly Purchases'!$N$2:$N$503,'Weekly Purchases'!$B$2:$B$503,"",'Weekly Purchases'!$A$2:$A$503,"&lt;="&amp;$A231))</f>
        <v/>
      </c>
      <c r="M231" s="8" t="str">
        <f>IF($A231="","",Settings!$B$4+SUMIFS($C$2:$C$495,$A$2:$A$495,"&lt;="&amp;$A231)-SUMIFS($K$2:$K$495,$A$2:$A$495,"&lt;="&amp;$A231)-SUMIFS('Weekly Purchases'!$O$2:$O$503,'Weekly Purchases'!$B$2:$B$503,"&lt;&gt;",'Weekly Purchases'!$B$2:$B$503,"&lt;="&amp;$A231)-SUMIFS('Weekly Purchases'!$O$2:$O$503,'Weekly Purchases'!$B$2:$B$503,"",'Weekly Purchases'!$A$2:$A$503,"&lt;="&amp;$A231))</f>
        <v/>
      </c>
      <c r="N231" s="8" t="str">
        <f t="shared" si="14"/>
        <v/>
      </c>
      <c r="O231" s="8" t="str">
        <f t="shared" si="15"/>
        <v/>
      </c>
      <c r="P231" s="4"/>
    </row>
    <row r="232" spans="1:16">
      <c r="A232" s="6"/>
      <c r="B232" s="7"/>
      <c r="C232" s="7"/>
      <c r="D232" s="8" t="str">
        <f t="shared" si="12"/>
        <v/>
      </c>
      <c r="E232" s="7"/>
      <c r="F232" s="7"/>
      <c r="G232" s="7"/>
      <c r="H232" s="7"/>
      <c r="I232" s="8" t="str">
        <f t="shared" si="13"/>
        <v/>
      </c>
      <c r="J232" s="8"/>
      <c r="K232" s="8"/>
      <c r="L232" s="8" t="str">
        <f>IF($A232="","",Settings!$B$3+SUMIFS($B$2:$B$495,$A$2:$A$495,"&lt;="&amp;$A232)-SUMIFS($J$2:$J$495,$A$2:$A$495,"&lt;="&amp;$A232)-SUMIFS('Weekly Purchases'!$N$2:$N$503,'Weekly Purchases'!$B$2:$B$503,"&lt;&gt;",'Weekly Purchases'!$B$2:$B$503,"&lt;="&amp;$A232)-SUMIFS('Weekly Purchases'!$N$2:$N$503,'Weekly Purchases'!$B$2:$B$503,"",'Weekly Purchases'!$A$2:$A$503,"&lt;="&amp;$A232))</f>
        <v/>
      </c>
      <c r="M232" s="8" t="str">
        <f>IF($A232="","",Settings!$B$4+SUMIFS($C$2:$C$495,$A$2:$A$495,"&lt;="&amp;$A232)-SUMIFS($K$2:$K$495,$A$2:$A$495,"&lt;="&amp;$A232)-SUMIFS('Weekly Purchases'!$O$2:$O$503,'Weekly Purchases'!$B$2:$B$503,"&lt;&gt;",'Weekly Purchases'!$B$2:$B$503,"&lt;="&amp;$A232)-SUMIFS('Weekly Purchases'!$O$2:$O$503,'Weekly Purchases'!$B$2:$B$503,"",'Weekly Purchases'!$A$2:$A$503,"&lt;="&amp;$A232))</f>
        <v/>
      </c>
      <c r="N232" s="8" t="str">
        <f t="shared" si="14"/>
        <v/>
      </c>
      <c r="O232" s="8" t="str">
        <f t="shared" si="15"/>
        <v/>
      </c>
      <c r="P232" s="4"/>
    </row>
    <row r="233" spans="1:16">
      <c r="A233" s="6"/>
      <c r="B233" s="7"/>
      <c r="C233" s="7"/>
      <c r="D233" s="8" t="str">
        <f t="shared" si="12"/>
        <v/>
      </c>
      <c r="E233" s="7"/>
      <c r="F233" s="7"/>
      <c r="G233" s="7"/>
      <c r="H233" s="7"/>
      <c r="I233" s="8" t="str">
        <f t="shared" si="13"/>
        <v/>
      </c>
      <c r="J233" s="8"/>
      <c r="K233" s="8"/>
      <c r="L233" s="8" t="str">
        <f>IF($A233="","",Settings!$B$3+SUMIFS($B$2:$B$495,$A$2:$A$495,"&lt;="&amp;$A233)-SUMIFS($J$2:$J$495,$A$2:$A$495,"&lt;="&amp;$A233)-SUMIFS('Weekly Purchases'!$N$2:$N$503,'Weekly Purchases'!$B$2:$B$503,"&lt;&gt;",'Weekly Purchases'!$B$2:$B$503,"&lt;="&amp;$A233)-SUMIFS('Weekly Purchases'!$N$2:$N$503,'Weekly Purchases'!$B$2:$B$503,"",'Weekly Purchases'!$A$2:$A$503,"&lt;="&amp;$A233))</f>
        <v/>
      </c>
      <c r="M233" s="8" t="str">
        <f>IF($A233="","",Settings!$B$4+SUMIFS($C$2:$C$495,$A$2:$A$495,"&lt;="&amp;$A233)-SUMIFS($K$2:$K$495,$A$2:$A$495,"&lt;="&amp;$A233)-SUMIFS('Weekly Purchases'!$O$2:$O$503,'Weekly Purchases'!$B$2:$B$503,"&lt;&gt;",'Weekly Purchases'!$B$2:$B$503,"&lt;="&amp;$A233)-SUMIFS('Weekly Purchases'!$O$2:$O$503,'Weekly Purchases'!$B$2:$B$503,"",'Weekly Purchases'!$A$2:$A$503,"&lt;="&amp;$A233))</f>
        <v/>
      </c>
      <c r="N233" s="8" t="str">
        <f t="shared" si="14"/>
        <v/>
      </c>
      <c r="O233" s="8" t="str">
        <f t="shared" si="15"/>
        <v/>
      </c>
      <c r="P233" s="4"/>
    </row>
    <row r="234" spans="1:16">
      <c r="A234" s="6"/>
      <c r="B234" s="7"/>
      <c r="C234" s="7"/>
      <c r="D234" s="8" t="str">
        <f t="shared" si="12"/>
        <v/>
      </c>
      <c r="E234" s="7"/>
      <c r="F234" s="7"/>
      <c r="G234" s="7"/>
      <c r="H234" s="7"/>
      <c r="I234" s="8" t="str">
        <f t="shared" si="13"/>
        <v/>
      </c>
      <c r="J234" s="8"/>
      <c r="K234" s="8"/>
      <c r="L234" s="8" t="str">
        <f>IF($A234="","",Settings!$B$3+SUMIFS($B$2:$B$495,$A$2:$A$495,"&lt;="&amp;$A234)-SUMIFS($J$2:$J$495,$A$2:$A$495,"&lt;="&amp;$A234)-SUMIFS('Weekly Purchases'!$N$2:$N$503,'Weekly Purchases'!$B$2:$B$503,"&lt;&gt;",'Weekly Purchases'!$B$2:$B$503,"&lt;="&amp;$A234)-SUMIFS('Weekly Purchases'!$N$2:$N$503,'Weekly Purchases'!$B$2:$B$503,"",'Weekly Purchases'!$A$2:$A$503,"&lt;="&amp;$A234))</f>
        <v/>
      </c>
      <c r="M234" s="8" t="str">
        <f>IF($A234="","",Settings!$B$4+SUMIFS($C$2:$C$495,$A$2:$A$495,"&lt;="&amp;$A234)-SUMIFS($K$2:$K$495,$A$2:$A$495,"&lt;="&amp;$A234)-SUMIFS('Weekly Purchases'!$O$2:$O$503,'Weekly Purchases'!$B$2:$B$503,"&lt;&gt;",'Weekly Purchases'!$B$2:$B$503,"&lt;="&amp;$A234)-SUMIFS('Weekly Purchases'!$O$2:$O$503,'Weekly Purchases'!$B$2:$B$503,"",'Weekly Purchases'!$A$2:$A$503,"&lt;="&amp;$A234))</f>
        <v/>
      </c>
      <c r="N234" s="8" t="str">
        <f t="shared" si="14"/>
        <v/>
      </c>
      <c r="O234" s="8" t="str">
        <f t="shared" si="15"/>
        <v/>
      </c>
      <c r="P234" s="4"/>
    </row>
    <row r="235" spans="1:16">
      <c r="A235" s="6"/>
      <c r="B235" s="7"/>
      <c r="C235" s="7"/>
      <c r="D235" s="8" t="str">
        <f t="shared" si="12"/>
        <v/>
      </c>
      <c r="E235" s="7"/>
      <c r="F235" s="7"/>
      <c r="G235" s="7"/>
      <c r="H235" s="7"/>
      <c r="I235" s="8" t="str">
        <f t="shared" si="13"/>
        <v/>
      </c>
      <c r="J235" s="8"/>
      <c r="K235" s="8"/>
      <c r="L235" s="8" t="str">
        <f>IF($A235="","",Settings!$B$3+SUMIFS($B$2:$B$495,$A$2:$A$495,"&lt;="&amp;$A235)-SUMIFS($J$2:$J$495,$A$2:$A$495,"&lt;="&amp;$A235)-SUMIFS('Weekly Purchases'!$N$2:$N$503,'Weekly Purchases'!$B$2:$B$503,"&lt;&gt;",'Weekly Purchases'!$B$2:$B$503,"&lt;="&amp;$A235)-SUMIFS('Weekly Purchases'!$N$2:$N$503,'Weekly Purchases'!$B$2:$B$503,"",'Weekly Purchases'!$A$2:$A$503,"&lt;="&amp;$A235))</f>
        <v/>
      </c>
      <c r="M235" s="8" t="str">
        <f>IF($A235="","",Settings!$B$4+SUMIFS($C$2:$C$495,$A$2:$A$495,"&lt;="&amp;$A235)-SUMIFS($K$2:$K$495,$A$2:$A$495,"&lt;="&amp;$A235)-SUMIFS('Weekly Purchases'!$O$2:$O$503,'Weekly Purchases'!$B$2:$B$503,"&lt;&gt;",'Weekly Purchases'!$B$2:$B$503,"&lt;="&amp;$A235)-SUMIFS('Weekly Purchases'!$O$2:$O$503,'Weekly Purchases'!$B$2:$B$503,"",'Weekly Purchases'!$A$2:$A$503,"&lt;="&amp;$A235))</f>
        <v/>
      </c>
      <c r="N235" s="8" t="str">
        <f t="shared" si="14"/>
        <v/>
      </c>
      <c r="O235" s="8" t="str">
        <f t="shared" si="15"/>
        <v/>
      </c>
      <c r="P235" s="4"/>
    </row>
    <row r="236" spans="1:16">
      <c r="A236" s="6"/>
      <c r="B236" s="7"/>
      <c r="C236" s="7"/>
      <c r="D236" s="8" t="str">
        <f t="shared" si="12"/>
        <v/>
      </c>
      <c r="E236" s="7"/>
      <c r="F236" s="7"/>
      <c r="G236" s="7"/>
      <c r="H236" s="7"/>
      <c r="I236" s="8" t="str">
        <f t="shared" si="13"/>
        <v/>
      </c>
      <c r="J236" s="8"/>
      <c r="K236" s="8"/>
      <c r="L236" s="8" t="str">
        <f>IF($A236="","",Settings!$B$3+SUMIFS($B$2:$B$495,$A$2:$A$495,"&lt;="&amp;$A236)-SUMIFS($J$2:$J$495,$A$2:$A$495,"&lt;="&amp;$A236)-SUMIFS('Weekly Purchases'!$N$2:$N$503,'Weekly Purchases'!$B$2:$B$503,"&lt;&gt;",'Weekly Purchases'!$B$2:$B$503,"&lt;="&amp;$A236)-SUMIFS('Weekly Purchases'!$N$2:$N$503,'Weekly Purchases'!$B$2:$B$503,"",'Weekly Purchases'!$A$2:$A$503,"&lt;="&amp;$A236))</f>
        <v/>
      </c>
      <c r="M236" s="8" t="str">
        <f>IF($A236="","",Settings!$B$4+SUMIFS($C$2:$C$495,$A$2:$A$495,"&lt;="&amp;$A236)-SUMIFS($K$2:$K$495,$A$2:$A$495,"&lt;="&amp;$A236)-SUMIFS('Weekly Purchases'!$O$2:$O$503,'Weekly Purchases'!$B$2:$B$503,"&lt;&gt;",'Weekly Purchases'!$B$2:$B$503,"&lt;="&amp;$A236)-SUMIFS('Weekly Purchases'!$O$2:$O$503,'Weekly Purchases'!$B$2:$B$503,"",'Weekly Purchases'!$A$2:$A$503,"&lt;="&amp;$A236))</f>
        <v/>
      </c>
      <c r="N236" s="8" t="str">
        <f t="shared" si="14"/>
        <v/>
      </c>
      <c r="O236" s="8" t="str">
        <f t="shared" si="15"/>
        <v/>
      </c>
      <c r="P236" s="4"/>
    </row>
    <row r="237" spans="1:16">
      <c r="A237" s="6"/>
      <c r="B237" s="7"/>
      <c r="C237" s="7"/>
      <c r="D237" s="8" t="str">
        <f t="shared" si="12"/>
        <v/>
      </c>
      <c r="E237" s="7"/>
      <c r="F237" s="7"/>
      <c r="G237" s="7"/>
      <c r="H237" s="7"/>
      <c r="I237" s="8" t="str">
        <f t="shared" si="13"/>
        <v/>
      </c>
      <c r="J237" s="8"/>
      <c r="K237" s="8"/>
      <c r="L237" s="8" t="str">
        <f>IF($A237="","",Settings!$B$3+SUMIFS($B$2:$B$495,$A$2:$A$495,"&lt;="&amp;$A237)-SUMIFS($J$2:$J$495,$A$2:$A$495,"&lt;="&amp;$A237)-SUMIFS('Weekly Purchases'!$N$2:$N$503,'Weekly Purchases'!$B$2:$B$503,"&lt;&gt;",'Weekly Purchases'!$B$2:$B$503,"&lt;="&amp;$A237)-SUMIFS('Weekly Purchases'!$N$2:$N$503,'Weekly Purchases'!$B$2:$B$503,"",'Weekly Purchases'!$A$2:$A$503,"&lt;="&amp;$A237))</f>
        <v/>
      </c>
      <c r="M237" s="8" t="str">
        <f>IF($A237="","",Settings!$B$4+SUMIFS($C$2:$C$495,$A$2:$A$495,"&lt;="&amp;$A237)-SUMIFS($K$2:$K$495,$A$2:$A$495,"&lt;="&amp;$A237)-SUMIFS('Weekly Purchases'!$O$2:$O$503,'Weekly Purchases'!$B$2:$B$503,"&lt;&gt;",'Weekly Purchases'!$B$2:$B$503,"&lt;="&amp;$A237)-SUMIFS('Weekly Purchases'!$O$2:$O$503,'Weekly Purchases'!$B$2:$B$503,"",'Weekly Purchases'!$A$2:$A$503,"&lt;="&amp;$A237))</f>
        <v/>
      </c>
      <c r="N237" s="8" t="str">
        <f t="shared" si="14"/>
        <v/>
      </c>
      <c r="O237" s="8" t="str">
        <f t="shared" si="15"/>
        <v/>
      </c>
      <c r="P237" s="4"/>
    </row>
    <row r="238" spans="1:16">
      <c r="A238" s="6"/>
      <c r="B238" s="7"/>
      <c r="C238" s="7"/>
      <c r="D238" s="8" t="str">
        <f t="shared" si="12"/>
        <v/>
      </c>
      <c r="E238" s="7"/>
      <c r="F238" s="7"/>
      <c r="G238" s="7"/>
      <c r="H238" s="7"/>
      <c r="I238" s="8" t="str">
        <f t="shared" si="13"/>
        <v/>
      </c>
      <c r="J238" s="8"/>
      <c r="K238" s="8"/>
      <c r="L238" s="8" t="str">
        <f>IF($A238="","",Settings!$B$3+SUMIFS($B$2:$B$495,$A$2:$A$495,"&lt;="&amp;$A238)-SUMIFS($J$2:$J$495,$A$2:$A$495,"&lt;="&amp;$A238)-SUMIFS('Weekly Purchases'!$N$2:$N$503,'Weekly Purchases'!$B$2:$B$503,"&lt;&gt;",'Weekly Purchases'!$B$2:$B$503,"&lt;="&amp;$A238)-SUMIFS('Weekly Purchases'!$N$2:$N$503,'Weekly Purchases'!$B$2:$B$503,"",'Weekly Purchases'!$A$2:$A$503,"&lt;="&amp;$A238))</f>
        <v/>
      </c>
      <c r="M238" s="8" t="str">
        <f>IF($A238="","",Settings!$B$4+SUMIFS($C$2:$C$495,$A$2:$A$495,"&lt;="&amp;$A238)-SUMIFS($K$2:$K$495,$A$2:$A$495,"&lt;="&amp;$A238)-SUMIFS('Weekly Purchases'!$O$2:$O$503,'Weekly Purchases'!$B$2:$B$503,"&lt;&gt;",'Weekly Purchases'!$B$2:$B$503,"&lt;="&amp;$A238)-SUMIFS('Weekly Purchases'!$O$2:$O$503,'Weekly Purchases'!$B$2:$B$503,"",'Weekly Purchases'!$A$2:$A$503,"&lt;="&amp;$A238))</f>
        <v/>
      </c>
      <c r="N238" s="8" t="str">
        <f t="shared" si="14"/>
        <v/>
      </c>
      <c r="O238" s="8" t="str">
        <f t="shared" si="15"/>
        <v/>
      </c>
      <c r="P238" s="4"/>
    </row>
    <row r="239" spans="1:16">
      <c r="A239" s="6"/>
      <c r="B239" s="7"/>
      <c r="C239" s="7"/>
      <c r="D239" s="8" t="str">
        <f t="shared" si="12"/>
        <v/>
      </c>
      <c r="E239" s="7"/>
      <c r="F239" s="7"/>
      <c r="G239" s="7"/>
      <c r="H239" s="7"/>
      <c r="I239" s="8" t="str">
        <f t="shared" si="13"/>
        <v/>
      </c>
      <c r="J239" s="8"/>
      <c r="K239" s="8"/>
      <c r="L239" s="8" t="str">
        <f>IF($A239="","",Settings!$B$3+SUMIFS($B$2:$B$495,$A$2:$A$495,"&lt;="&amp;$A239)-SUMIFS($J$2:$J$495,$A$2:$A$495,"&lt;="&amp;$A239)-SUMIFS('Weekly Purchases'!$N$2:$N$503,'Weekly Purchases'!$B$2:$B$503,"&lt;&gt;",'Weekly Purchases'!$B$2:$B$503,"&lt;="&amp;$A239)-SUMIFS('Weekly Purchases'!$N$2:$N$503,'Weekly Purchases'!$B$2:$B$503,"",'Weekly Purchases'!$A$2:$A$503,"&lt;="&amp;$A239))</f>
        <v/>
      </c>
      <c r="M239" s="8" t="str">
        <f>IF($A239="","",Settings!$B$4+SUMIFS($C$2:$C$495,$A$2:$A$495,"&lt;="&amp;$A239)-SUMIFS($K$2:$K$495,$A$2:$A$495,"&lt;="&amp;$A239)-SUMIFS('Weekly Purchases'!$O$2:$O$503,'Weekly Purchases'!$B$2:$B$503,"&lt;&gt;",'Weekly Purchases'!$B$2:$B$503,"&lt;="&amp;$A239)-SUMIFS('Weekly Purchases'!$O$2:$O$503,'Weekly Purchases'!$B$2:$B$503,"",'Weekly Purchases'!$A$2:$A$503,"&lt;="&amp;$A239))</f>
        <v/>
      </c>
      <c r="N239" s="8" t="str">
        <f t="shared" si="14"/>
        <v/>
      </c>
      <c r="O239" s="8" t="str">
        <f t="shared" si="15"/>
        <v/>
      </c>
      <c r="P239" s="4"/>
    </row>
    <row r="240" spans="1:16">
      <c r="A240" s="6"/>
      <c r="B240" s="7"/>
      <c r="C240" s="7"/>
      <c r="D240" s="8" t="str">
        <f t="shared" si="12"/>
        <v/>
      </c>
      <c r="E240" s="7"/>
      <c r="F240" s="7"/>
      <c r="G240" s="7"/>
      <c r="H240" s="7"/>
      <c r="I240" s="8" t="str">
        <f t="shared" si="13"/>
        <v/>
      </c>
      <c r="J240" s="8"/>
      <c r="K240" s="8"/>
      <c r="L240" s="8" t="str">
        <f>IF($A240="","",Settings!$B$3+SUMIFS($B$2:$B$495,$A$2:$A$495,"&lt;="&amp;$A240)-SUMIFS($J$2:$J$495,$A$2:$A$495,"&lt;="&amp;$A240)-SUMIFS('Weekly Purchases'!$N$2:$N$503,'Weekly Purchases'!$B$2:$B$503,"&lt;&gt;",'Weekly Purchases'!$B$2:$B$503,"&lt;="&amp;$A240)-SUMIFS('Weekly Purchases'!$N$2:$N$503,'Weekly Purchases'!$B$2:$B$503,"",'Weekly Purchases'!$A$2:$A$503,"&lt;="&amp;$A240))</f>
        <v/>
      </c>
      <c r="M240" s="8" t="str">
        <f>IF($A240="","",Settings!$B$4+SUMIFS($C$2:$C$495,$A$2:$A$495,"&lt;="&amp;$A240)-SUMIFS($K$2:$K$495,$A$2:$A$495,"&lt;="&amp;$A240)-SUMIFS('Weekly Purchases'!$O$2:$O$503,'Weekly Purchases'!$B$2:$B$503,"&lt;&gt;",'Weekly Purchases'!$B$2:$B$503,"&lt;="&amp;$A240)-SUMIFS('Weekly Purchases'!$O$2:$O$503,'Weekly Purchases'!$B$2:$B$503,"",'Weekly Purchases'!$A$2:$A$503,"&lt;="&amp;$A240))</f>
        <v/>
      </c>
      <c r="N240" s="8" t="str">
        <f t="shared" si="14"/>
        <v/>
      </c>
      <c r="O240" s="8" t="str">
        <f t="shared" si="15"/>
        <v/>
      </c>
      <c r="P240" s="4"/>
    </row>
    <row r="241" spans="1:16">
      <c r="A241" s="6"/>
      <c r="B241" s="7"/>
      <c r="C241" s="7"/>
      <c r="D241" s="8" t="str">
        <f t="shared" si="12"/>
        <v/>
      </c>
      <c r="E241" s="7"/>
      <c r="F241" s="7"/>
      <c r="G241" s="7"/>
      <c r="H241" s="7"/>
      <c r="I241" s="8" t="str">
        <f t="shared" si="13"/>
        <v/>
      </c>
      <c r="J241" s="8"/>
      <c r="K241" s="8"/>
      <c r="L241" s="8" t="str">
        <f>IF($A241="","",Settings!$B$3+SUMIFS($B$2:$B$495,$A$2:$A$495,"&lt;="&amp;$A241)-SUMIFS($J$2:$J$495,$A$2:$A$495,"&lt;="&amp;$A241)-SUMIFS('Weekly Purchases'!$N$2:$N$503,'Weekly Purchases'!$B$2:$B$503,"&lt;&gt;",'Weekly Purchases'!$B$2:$B$503,"&lt;="&amp;$A241)-SUMIFS('Weekly Purchases'!$N$2:$N$503,'Weekly Purchases'!$B$2:$B$503,"",'Weekly Purchases'!$A$2:$A$503,"&lt;="&amp;$A241))</f>
        <v/>
      </c>
      <c r="M241" s="8" t="str">
        <f>IF($A241="","",Settings!$B$4+SUMIFS($C$2:$C$495,$A$2:$A$495,"&lt;="&amp;$A241)-SUMIFS($K$2:$K$495,$A$2:$A$495,"&lt;="&amp;$A241)-SUMIFS('Weekly Purchases'!$O$2:$O$503,'Weekly Purchases'!$B$2:$B$503,"&lt;&gt;",'Weekly Purchases'!$B$2:$B$503,"&lt;="&amp;$A241)-SUMIFS('Weekly Purchases'!$O$2:$O$503,'Weekly Purchases'!$B$2:$B$503,"",'Weekly Purchases'!$A$2:$A$503,"&lt;="&amp;$A241))</f>
        <v/>
      </c>
      <c r="N241" s="8" t="str">
        <f t="shared" si="14"/>
        <v/>
      </c>
      <c r="O241" s="8" t="str">
        <f t="shared" si="15"/>
        <v/>
      </c>
      <c r="P241" s="4"/>
    </row>
    <row r="242" spans="1:16">
      <c r="A242" s="6"/>
      <c r="B242" s="7"/>
      <c r="C242" s="7"/>
      <c r="D242" s="8" t="str">
        <f t="shared" si="12"/>
        <v/>
      </c>
      <c r="E242" s="7"/>
      <c r="F242" s="7"/>
      <c r="G242" s="7"/>
      <c r="H242" s="7"/>
      <c r="I242" s="8" t="str">
        <f t="shared" si="13"/>
        <v/>
      </c>
      <c r="J242" s="8"/>
      <c r="K242" s="8"/>
      <c r="L242" s="8" t="str">
        <f>IF($A242="","",Settings!$B$3+SUMIFS($B$2:$B$495,$A$2:$A$495,"&lt;="&amp;$A242)-SUMIFS($J$2:$J$495,$A$2:$A$495,"&lt;="&amp;$A242)-SUMIFS('Weekly Purchases'!$N$2:$N$503,'Weekly Purchases'!$B$2:$B$503,"&lt;&gt;",'Weekly Purchases'!$B$2:$B$503,"&lt;="&amp;$A242)-SUMIFS('Weekly Purchases'!$N$2:$N$503,'Weekly Purchases'!$B$2:$B$503,"",'Weekly Purchases'!$A$2:$A$503,"&lt;="&amp;$A242))</f>
        <v/>
      </c>
      <c r="M242" s="8" t="str">
        <f>IF($A242="","",Settings!$B$4+SUMIFS($C$2:$C$495,$A$2:$A$495,"&lt;="&amp;$A242)-SUMIFS($K$2:$K$495,$A$2:$A$495,"&lt;="&amp;$A242)-SUMIFS('Weekly Purchases'!$O$2:$O$503,'Weekly Purchases'!$B$2:$B$503,"&lt;&gt;",'Weekly Purchases'!$B$2:$B$503,"&lt;="&amp;$A242)-SUMIFS('Weekly Purchases'!$O$2:$O$503,'Weekly Purchases'!$B$2:$B$503,"",'Weekly Purchases'!$A$2:$A$503,"&lt;="&amp;$A242))</f>
        <v/>
      </c>
      <c r="N242" s="8" t="str">
        <f t="shared" si="14"/>
        <v/>
      </c>
      <c r="O242" s="8" t="str">
        <f t="shared" si="15"/>
        <v/>
      </c>
      <c r="P242" s="4"/>
    </row>
    <row r="243" spans="1:16">
      <c r="A243" s="6"/>
      <c r="B243" s="7"/>
      <c r="C243" s="7"/>
      <c r="D243" s="8" t="str">
        <f t="shared" si="12"/>
        <v/>
      </c>
      <c r="E243" s="7"/>
      <c r="F243" s="7"/>
      <c r="G243" s="7"/>
      <c r="H243" s="7"/>
      <c r="I243" s="8" t="str">
        <f t="shared" si="13"/>
        <v/>
      </c>
      <c r="J243" s="8"/>
      <c r="K243" s="8"/>
      <c r="L243" s="8" t="str">
        <f>IF($A243="","",Settings!$B$3+SUMIFS($B$2:$B$495,$A$2:$A$495,"&lt;="&amp;$A243)-SUMIFS($J$2:$J$495,$A$2:$A$495,"&lt;="&amp;$A243)-SUMIFS('Weekly Purchases'!$N$2:$N$503,'Weekly Purchases'!$B$2:$B$503,"&lt;&gt;",'Weekly Purchases'!$B$2:$B$503,"&lt;="&amp;$A243)-SUMIFS('Weekly Purchases'!$N$2:$N$503,'Weekly Purchases'!$B$2:$B$503,"",'Weekly Purchases'!$A$2:$A$503,"&lt;="&amp;$A243))</f>
        <v/>
      </c>
      <c r="M243" s="8" t="str">
        <f>IF($A243="","",Settings!$B$4+SUMIFS($C$2:$C$495,$A$2:$A$495,"&lt;="&amp;$A243)-SUMIFS($K$2:$K$495,$A$2:$A$495,"&lt;="&amp;$A243)-SUMIFS('Weekly Purchases'!$O$2:$O$503,'Weekly Purchases'!$B$2:$B$503,"&lt;&gt;",'Weekly Purchases'!$B$2:$B$503,"&lt;="&amp;$A243)-SUMIFS('Weekly Purchases'!$O$2:$O$503,'Weekly Purchases'!$B$2:$B$503,"",'Weekly Purchases'!$A$2:$A$503,"&lt;="&amp;$A243))</f>
        <v/>
      </c>
      <c r="N243" s="8" t="str">
        <f t="shared" si="14"/>
        <v/>
      </c>
      <c r="O243" s="8" t="str">
        <f t="shared" si="15"/>
        <v/>
      </c>
      <c r="P243" s="4"/>
    </row>
    <row r="244" spans="1:16">
      <c r="A244" s="6"/>
      <c r="B244" s="7"/>
      <c r="C244" s="7"/>
      <c r="D244" s="8" t="str">
        <f t="shared" si="12"/>
        <v/>
      </c>
      <c r="E244" s="7"/>
      <c r="F244" s="7"/>
      <c r="G244" s="7"/>
      <c r="H244" s="7"/>
      <c r="I244" s="8" t="str">
        <f t="shared" si="13"/>
        <v/>
      </c>
      <c r="J244" s="8"/>
      <c r="K244" s="8"/>
      <c r="L244" s="8" t="str">
        <f>IF($A244="","",Settings!$B$3+SUMIFS($B$2:$B$495,$A$2:$A$495,"&lt;="&amp;$A244)-SUMIFS($J$2:$J$495,$A$2:$A$495,"&lt;="&amp;$A244)-SUMIFS('Weekly Purchases'!$N$2:$N$503,'Weekly Purchases'!$B$2:$B$503,"&lt;&gt;",'Weekly Purchases'!$B$2:$B$503,"&lt;="&amp;$A244)-SUMIFS('Weekly Purchases'!$N$2:$N$503,'Weekly Purchases'!$B$2:$B$503,"",'Weekly Purchases'!$A$2:$A$503,"&lt;="&amp;$A244))</f>
        <v/>
      </c>
      <c r="M244" s="8" t="str">
        <f>IF($A244="","",Settings!$B$4+SUMIFS($C$2:$C$495,$A$2:$A$495,"&lt;="&amp;$A244)-SUMIFS($K$2:$K$495,$A$2:$A$495,"&lt;="&amp;$A244)-SUMIFS('Weekly Purchases'!$O$2:$O$503,'Weekly Purchases'!$B$2:$B$503,"&lt;&gt;",'Weekly Purchases'!$B$2:$B$503,"&lt;="&amp;$A244)-SUMIFS('Weekly Purchases'!$O$2:$O$503,'Weekly Purchases'!$B$2:$B$503,"",'Weekly Purchases'!$A$2:$A$503,"&lt;="&amp;$A244))</f>
        <v/>
      </c>
      <c r="N244" s="8" t="str">
        <f t="shared" si="14"/>
        <v/>
      </c>
      <c r="O244" s="8" t="str">
        <f t="shared" si="15"/>
        <v/>
      </c>
      <c r="P244" s="4"/>
    </row>
    <row r="245" spans="1:16">
      <c r="A245" s="6"/>
      <c r="B245" s="7"/>
      <c r="C245" s="7"/>
      <c r="D245" s="8" t="str">
        <f t="shared" si="12"/>
        <v/>
      </c>
      <c r="E245" s="7"/>
      <c r="F245" s="7"/>
      <c r="G245" s="7"/>
      <c r="H245" s="7"/>
      <c r="I245" s="8" t="str">
        <f t="shared" si="13"/>
        <v/>
      </c>
      <c r="J245" s="8"/>
      <c r="K245" s="8"/>
      <c r="L245" s="8" t="str">
        <f>IF($A245="","",Settings!$B$3+SUMIFS($B$2:$B$495,$A$2:$A$495,"&lt;="&amp;$A245)-SUMIFS($J$2:$J$495,$A$2:$A$495,"&lt;="&amp;$A245)-SUMIFS('Weekly Purchases'!$N$2:$N$503,'Weekly Purchases'!$B$2:$B$503,"&lt;&gt;",'Weekly Purchases'!$B$2:$B$503,"&lt;="&amp;$A245)-SUMIFS('Weekly Purchases'!$N$2:$N$503,'Weekly Purchases'!$B$2:$B$503,"",'Weekly Purchases'!$A$2:$A$503,"&lt;="&amp;$A245))</f>
        <v/>
      </c>
      <c r="M245" s="8" t="str">
        <f>IF($A245="","",Settings!$B$4+SUMIFS($C$2:$C$495,$A$2:$A$495,"&lt;="&amp;$A245)-SUMIFS($K$2:$K$495,$A$2:$A$495,"&lt;="&amp;$A245)-SUMIFS('Weekly Purchases'!$O$2:$O$503,'Weekly Purchases'!$B$2:$B$503,"&lt;&gt;",'Weekly Purchases'!$B$2:$B$503,"&lt;="&amp;$A245)-SUMIFS('Weekly Purchases'!$O$2:$O$503,'Weekly Purchases'!$B$2:$B$503,"",'Weekly Purchases'!$A$2:$A$503,"&lt;="&amp;$A245))</f>
        <v/>
      </c>
      <c r="N245" s="8" t="str">
        <f t="shared" si="14"/>
        <v/>
      </c>
      <c r="O245" s="8" t="str">
        <f t="shared" si="15"/>
        <v/>
      </c>
      <c r="P245" s="4"/>
    </row>
    <row r="246" spans="1:16">
      <c r="A246" s="6"/>
      <c r="B246" s="7"/>
      <c r="C246" s="7"/>
      <c r="D246" s="8" t="str">
        <f t="shared" si="12"/>
        <v/>
      </c>
      <c r="E246" s="7"/>
      <c r="F246" s="7"/>
      <c r="G246" s="7"/>
      <c r="H246" s="7"/>
      <c r="I246" s="8" t="str">
        <f t="shared" si="13"/>
        <v/>
      </c>
      <c r="J246" s="8"/>
      <c r="K246" s="8"/>
      <c r="L246" s="8" t="str">
        <f>IF($A246="","",Settings!$B$3+SUMIFS($B$2:$B$495,$A$2:$A$495,"&lt;="&amp;$A246)-SUMIFS($J$2:$J$495,$A$2:$A$495,"&lt;="&amp;$A246)-SUMIFS('Weekly Purchases'!$N$2:$N$503,'Weekly Purchases'!$B$2:$B$503,"&lt;&gt;",'Weekly Purchases'!$B$2:$B$503,"&lt;="&amp;$A246)-SUMIFS('Weekly Purchases'!$N$2:$N$503,'Weekly Purchases'!$B$2:$B$503,"",'Weekly Purchases'!$A$2:$A$503,"&lt;="&amp;$A246))</f>
        <v/>
      </c>
      <c r="M246" s="8" t="str">
        <f>IF($A246="","",Settings!$B$4+SUMIFS($C$2:$C$495,$A$2:$A$495,"&lt;="&amp;$A246)-SUMIFS($K$2:$K$495,$A$2:$A$495,"&lt;="&amp;$A246)-SUMIFS('Weekly Purchases'!$O$2:$O$503,'Weekly Purchases'!$B$2:$B$503,"&lt;&gt;",'Weekly Purchases'!$B$2:$B$503,"&lt;="&amp;$A246)-SUMIFS('Weekly Purchases'!$O$2:$O$503,'Weekly Purchases'!$B$2:$B$503,"",'Weekly Purchases'!$A$2:$A$503,"&lt;="&amp;$A246))</f>
        <v/>
      </c>
      <c r="N246" s="8" t="str">
        <f t="shared" si="14"/>
        <v/>
      </c>
      <c r="O246" s="8" t="str">
        <f t="shared" si="15"/>
        <v/>
      </c>
      <c r="P246" s="4"/>
    </row>
    <row r="247" spans="1:16">
      <c r="A247" s="6"/>
      <c r="B247" s="7"/>
      <c r="C247" s="7"/>
      <c r="D247" s="8" t="str">
        <f t="shared" si="12"/>
        <v/>
      </c>
      <c r="E247" s="7"/>
      <c r="F247" s="7"/>
      <c r="G247" s="7"/>
      <c r="H247" s="7"/>
      <c r="I247" s="8" t="str">
        <f t="shared" si="13"/>
        <v/>
      </c>
      <c r="J247" s="8"/>
      <c r="K247" s="8"/>
      <c r="L247" s="8" t="str">
        <f>IF($A247="","",Settings!$B$3+SUMIFS($B$2:$B$495,$A$2:$A$495,"&lt;="&amp;$A247)-SUMIFS($J$2:$J$495,$A$2:$A$495,"&lt;="&amp;$A247)-SUMIFS('Weekly Purchases'!$N$2:$N$503,'Weekly Purchases'!$B$2:$B$503,"&lt;&gt;",'Weekly Purchases'!$B$2:$B$503,"&lt;="&amp;$A247)-SUMIFS('Weekly Purchases'!$N$2:$N$503,'Weekly Purchases'!$B$2:$B$503,"",'Weekly Purchases'!$A$2:$A$503,"&lt;="&amp;$A247))</f>
        <v/>
      </c>
      <c r="M247" s="8" t="str">
        <f>IF($A247="","",Settings!$B$4+SUMIFS($C$2:$C$495,$A$2:$A$495,"&lt;="&amp;$A247)-SUMIFS($K$2:$K$495,$A$2:$A$495,"&lt;="&amp;$A247)-SUMIFS('Weekly Purchases'!$O$2:$O$503,'Weekly Purchases'!$B$2:$B$503,"&lt;&gt;",'Weekly Purchases'!$B$2:$B$503,"&lt;="&amp;$A247)-SUMIFS('Weekly Purchases'!$O$2:$O$503,'Weekly Purchases'!$B$2:$B$503,"",'Weekly Purchases'!$A$2:$A$503,"&lt;="&amp;$A247))</f>
        <v/>
      </c>
      <c r="N247" s="8" t="str">
        <f t="shared" si="14"/>
        <v/>
      </c>
      <c r="O247" s="8" t="str">
        <f t="shared" si="15"/>
        <v/>
      </c>
      <c r="P247" s="4"/>
    </row>
    <row r="248" spans="1:16">
      <c r="A248" s="6"/>
      <c r="B248" s="7"/>
      <c r="C248" s="7"/>
      <c r="D248" s="8" t="str">
        <f t="shared" si="12"/>
        <v/>
      </c>
      <c r="E248" s="7"/>
      <c r="F248" s="7"/>
      <c r="G248" s="7"/>
      <c r="H248" s="7"/>
      <c r="I248" s="8" t="str">
        <f t="shared" si="13"/>
        <v/>
      </c>
      <c r="J248" s="8"/>
      <c r="K248" s="8"/>
      <c r="L248" s="8" t="str">
        <f>IF($A248="","",Settings!$B$3+SUMIFS($B$2:$B$495,$A$2:$A$495,"&lt;="&amp;$A248)-SUMIFS($J$2:$J$495,$A$2:$A$495,"&lt;="&amp;$A248)-SUMIFS('Weekly Purchases'!$N$2:$N$503,'Weekly Purchases'!$B$2:$B$503,"&lt;&gt;",'Weekly Purchases'!$B$2:$B$503,"&lt;="&amp;$A248)-SUMIFS('Weekly Purchases'!$N$2:$N$503,'Weekly Purchases'!$B$2:$B$503,"",'Weekly Purchases'!$A$2:$A$503,"&lt;="&amp;$A248))</f>
        <v/>
      </c>
      <c r="M248" s="8" t="str">
        <f>IF($A248="","",Settings!$B$4+SUMIFS($C$2:$C$495,$A$2:$A$495,"&lt;="&amp;$A248)-SUMIFS($K$2:$K$495,$A$2:$A$495,"&lt;="&amp;$A248)-SUMIFS('Weekly Purchases'!$O$2:$O$503,'Weekly Purchases'!$B$2:$B$503,"&lt;&gt;",'Weekly Purchases'!$B$2:$B$503,"&lt;="&amp;$A248)-SUMIFS('Weekly Purchases'!$O$2:$O$503,'Weekly Purchases'!$B$2:$B$503,"",'Weekly Purchases'!$A$2:$A$503,"&lt;="&amp;$A248))</f>
        <v/>
      </c>
      <c r="N248" s="8" t="str">
        <f t="shared" si="14"/>
        <v/>
      </c>
      <c r="O248" s="8" t="str">
        <f t="shared" si="15"/>
        <v/>
      </c>
      <c r="P248" s="4"/>
    </row>
    <row r="249" spans="1:16">
      <c r="A249" s="6"/>
      <c r="B249" s="7"/>
      <c r="C249" s="7"/>
      <c r="D249" s="8" t="str">
        <f t="shared" si="12"/>
        <v/>
      </c>
      <c r="E249" s="7"/>
      <c r="F249" s="7"/>
      <c r="G249" s="7"/>
      <c r="H249" s="7"/>
      <c r="I249" s="8" t="str">
        <f t="shared" si="13"/>
        <v/>
      </c>
      <c r="J249" s="8"/>
      <c r="K249" s="8"/>
      <c r="L249" s="8" t="str">
        <f>IF($A249="","",Settings!$B$3+SUMIFS($B$2:$B$495,$A$2:$A$495,"&lt;="&amp;$A249)-SUMIFS($J$2:$J$495,$A$2:$A$495,"&lt;="&amp;$A249)-SUMIFS('Weekly Purchases'!$N$2:$N$503,'Weekly Purchases'!$B$2:$B$503,"&lt;&gt;",'Weekly Purchases'!$B$2:$B$503,"&lt;="&amp;$A249)-SUMIFS('Weekly Purchases'!$N$2:$N$503,'Weekly Purchases'!$B$2:$B$503,"",'Weekly Purchases'!$A$2:$A$503,"&lt;="&amp;$A249))</f>
        <v/>
      </c>
      <c r="M249" s="8" t="str">
        <f>IF($A249="","",Settings!$B$4+SUMIFS($C$2:$C$495,$A$2:$A$495,"&lt;="&amp;$A249)-SUMIFS($K$2:$K$495,$A$2:$A$495,"&lt;="&amp;$A249)-SUMIFS('Weekly Purchases'!$O$2:$O$503,'Weekly Purchases'!$B$2:$B$503,"&lt;&gt;",'Weekly Purchases'!$B$2:$B$503,"&lt;="&amp;$A249)-SUMIFS('Weekly Purchases'!$O$2:$O$503,'Weekly Purchases'!$B$2:$B$503,"",'Weekly Purchases'!$A$2:$A$503,"&lt;="&amp;$A249))</f>
        <v/>
      </c>
      <c r="N249" s="8" t="str">
        <f t="shared" si="14"/>
        <v/>
      </c>
      <c r="O249" s="8" t="str">
        <f t="shared" si="15"/>
        <v/>
      </c>
      <c r="P249" s="4"/>
    </row>
    <row r="250" spans="1:16">
      <c r="A250" s="6"/>
      <c r="B250" s="7"/>
      <c r="C250" s="7"/>
      <c r="D250" s="8" t="str">
        <f t="shared" ref="D250:D313" si="16">IF($A250="","",SUM($B250:$C250))</f>
        <v/>
      </c>
      <c r="E250" s="7"/>
      <c r="F250" s="7"/>
      <c r="G250" s="7"/>
      <c r="H250" s="7"/>
      <c r="I250" s="8" t="str">
        <f t="shared" ref="I250:I313" si="17">IF($A250="","",SUM($E250:$H250))</f>
        <v/>
      </c>
      <c r="J250" s="8"/>
      <c r="K250" s="8"/>
      <c r="L250" s="8" t="str">
        <f>IF($A250="","",Settings!$B$3+SUMIFS($B$2:$B$495,$A$2:$A$495,"&lt;="&amp;$A250)-SUMIFS($J$2:$J$495,$A$2:$A$495,"&lt;="&amp;$A250)-SUMIFS('Weekly Purchases'!$N$2:$N$503,'Weekly Purchases'!$B$2:$B$503,"&lt;&gt;",'Weekly Purchases'!$B$2:$B$503,"&lt;="&amp;$A250)-SUMIFS('Weekly Purchases'!$N$2:$N$503,'Weekly Purchases'!$B$2:$B$503,"",'Weekly Purchases'!$A$2:$A$503,"&lt;="&amp;$A250))</f>
        <v/>
      </c>
      <c r="M250" s="8" t="str">
        <f>IF($A250="","",Settings!$B$4+SUMIFS($C$2:$C$495,$A$2:$A$495,"&lt;="&amp;$A250)-SUMIFS($K$2:$K$495,$A$2:$A$495,"&lt;="&amp;$A250)-SUMIFS('Weekly Purchases'!$O$2:$O$503,'Weekly Purchases'!$B$2:$B$503,"&lt;&gt;",'Weekly Purchases'!$B$2:$B$503,"&lt;="&amp;$A250)-SUMIFS('Weekly Purchases'!$O$2:$O$503,'Weekly Purchases'!$B$2:$B$503,"",'Weekly Purchases'!$A$2:$A$503,"&lt;="&amp;$A250))</f>
        <v/>
      </c>
      <c r="N250" s="8" t="str">
        <f t="shared" ref="N250:N313" si="18">IF($A250="","",L250+M250)</f>
        <v/>
      </c>
      <c r="O250" s="8" t="str">
        <f t="shared" ref="O250:O313" si="19">IF($A250="","",D250-I250)</f>
        <v/>
      </c>
      <c r="P250" s="4"/>
    </row>
    <row r="251" spans="1:16">
      <c r="A251" s="6"/>
      <c r="B251" s="7"/>
      <c r="C251" s="7"/>
      <c r="D251" s="8" t="str">
        <f t="shared" si="16"/>
        <v/>
      </c>
      <c r="E251" s="7"/>
      <c r="F251" s="7"/>
      <c r="G251" s="7"/>
      <c r="H251" s="7"/>
      <c r="I251" s="8" t="str">
        <f t="shared" si="17"/>
        <v/>
      </c>
      <c r="J251" s="8"/>
      <c r="K251" s="8"/>
      <c r="L251" s="8" t="str">
        <f>IF($A251="","",Settings!$B$3+SUMIFS($B$2:$B$495,$A$2:$A$495,"&lt;="&amp;$A251)-SUMIFS($J$2:$J$495,$A$2:$A$495,"&lt;="&amp;$A251)-SUMIFS('Weekly Purchases'!$N$2:$N$503,'Weekly Purchases'!$B$2:$B$503,"&lt;&gt;",'Weekly Purchases'!$B$2:$B$503,"&lt;="&amp;$A251)-SUMIFS('Weekly Purchases'!$N$2:$N$503,'Weekly Purchases'!$B$2:$B$503,"",'Weekly Purchases'!$A$2:$A$503,"&lt;="&amp;$A251))</f>
        <v/>
      </c>
      <c r="M251" s="8" t="str">
        <f>IF($A251="","",Settings!$B$4+SUMIFS($C$2:$C$495,$A$2:$A$495,"&lt;="&amp;$A251)-SUMIFS($K$2:$K$495,$A$2:$A$495,"&lt;="&amp;$A251)-SUMIFS('Weekly Purchases'!$O$2:$O$503,'Weekly Purchases'!$B$2:$B$503,"&lt;&gt;",'Weekly Purchases'!$B$2:$B$503,"&lt;="&amp;$A251)-SUMIFS('Weekly Purchases'!$O$2:$O$503,'Weekly Purchases'!$B$2:$B$503,"",'Weekly Purchases'!$A$2:$A$503,"&lt;="&amp;$A251))</f>
        <v/>
      </c>
      <c r="N251" s="8" t="str">
        <f t="shared" si="18"/>
        <v/>
      </c>
      <c r="O251" s="8" t="str">
        <f t="shared" si="19"/>
        <v/>
      </c>
      <c r="P251" s="4"/>
    </row>
    <row r="252" spans="1:16">
      <c r="A252" s="6"/>
      <c r="B252" s="7"/>
      <c r="C252" s="7"/>
      <c r="D252" s="8" t="str">
        <f t="shared" si="16"/>
        <v/>
      </c>
      <c r="E252" s="7"/>
      <c r="F252" s="7"/>
      <c r="G252" s="7"/>
      <c r="H252" s="7"/>
      <c r="I252" s="8" t="str">
        <f t="shared" si="17"/>
        <v/>
      </c>
      <c r="J252" s="8"/>
      <c r="K252" s="8"/>
      <c r="L252" s="8" t="str">
        <f>IF($A252="","",Settings!$B$3+SUMIFS($B$2:$B$495,$A$2:$A$495,"&lt;="&amp;$A252)-SUMIFS($J$2:$J$495,$A$2:$A$495,"&lt;="&amp;$A252)-SUMIFS('Weekly Purchases'!$N$2:$N$503,'Weekly Purchases'!$B$2:$B$503,"&lt;&gt;",'Weekly Purchases'!$B$2:$B$503,"&lt;="&amp;$A252)-SUMIFS('Weekly Purchases'!$N$2:$N$503,'Weekly Purchases'!$B$2:$B$503,"",'Weekly Purchases'!$A$2:$A$503,"&lt;="&amp;$A252))</f>
        <v/>
      </c>
      <c r="M252" s="8" t="str">
        <f>IF($A252="","",Settings!$B$4+SUMIFS($C$2:$C$495,$A$2:$A$495,"&lt;="&amp;$A252)-SUMIFS($K$2:$K$495,$A$2:$A$495,"&lt;="&amp;$A252)-SUMIFS('Weekly Purchases'!$O$2:$O$503,'Weekly Purchases'!$B$2:$B$503,"&lt;&gt;",'Weekly Purchases'!$B$2:$B$503,"&lt;="&amp;$A252)-SUMIFS('Weekly Purchases'!$O$2:$O$503,'Weekly Purchases'!$B$2:$B$503,"",'Weekly Purchases'!$A$2:$A$503,"&lt;="&amp;$A252))</f>
        <v/>
      </c>
      <c r="N252" s="8" t="str">
        <f t="shared" si="18"/>
        <v/>
      </c>
      <c r="O252" s="8" t="str">
        <f t="shared" si="19"/>
        <v/>
      </c>
      <c r="P252" s="4"/>
    </row>
    <row r="253" spans="1:16">
      <c r="A253" s="6"/>
      <c r="B253" s="7"/>
      <c r="C253" s="7"/>
      <c r="D253" s="8" t="str">
        <f t="shared" si="16"/>
        <v/>
      </c>
      <c r="E253" s="7"/>
      <c r="F253" s="7"/>
      <c r="G253" s="7"/>
      <c r="H253" s="7"/>
      <c r="I253" s="8" t="str">
        <f t="shared" si="17"/>
        <v/>
      </c>
      <c r="J253" s="8"/>
      <c r="K253" s="8"/>
      <c r="L253" s="8" t="str">
        <f>IF($A253="","",Settings!$B$3+SUMIFS($B$2:$B$495,$A$2:$A$495,"&lt;="&amp;$A253)-SUMIFS($J$2:$J$495,$A$2:$A$495,"&lt;="&amp;$A253)-SUMIFS('Weekly Purchases'!$N$2:$N$503,'Weekly Purchases'!$B$2:$B$503,"&lt;&gt;",'Weekly Purchases'!$B$2:$B$503,"&lt;="&amp;$A253)-SUMIFS('Weekly Purchases'!$N$2:$N$503,'Weekly Purchases'!$B$2:$B$503,"",'Weekly Purchases'!$A$2:$A$503,"&lt;="&amp;$A253))</f>
        <v/>
      </c>
      <c r="M253" s="8" t="str">
        <f>IF($A253="","",Settings!$B$4+SUMIFS($C$2:$C$495,$A$2:$A$495,"&lt;="&amp;$A253)-SUMIFS($K$2:$K$495,$A$2:$A$495,"&lt;="&amp;$A253)-SUMIFS('Weekly Purchases'!$O$2:$O$503,'Weekly Purchases'!$B$2:$B$503,"&lt;&gt;",'Weekly Purchases'!$B$2:$B$503,"&lt;="&amp;$A253)-SUMIFS('Weekly Purchases'!$O$2:$O$503,'Weekly Purchases'!$B$2:$B$503,"",'Weekly Purchases'!$A$2:$A$503,"&lt;="&amp;$A253))</f>
        <v/>
      </c>
      <c r="N253" s="8" t="str">
        <f t="shared" si="18"/>
        <v/>
      </c>
      <c r="O253" s="8" t="str">
        <f t="shared" si="19"/>
        <v/>
      </c>
      <c r="P253" s="4"/>
    </row>
    <row r="254" spans="1:16">
      <c r="A254" s="6"/>
      <c r="B254" s="7"/>
      <c r="C254" s="7"/>
      <c r="D254" s="8" t="str">
        <f t="shared" si="16"/>
        <v/>
      </c>
      <c r="E254" s="7"/>
      <c r="F254" s="7"/>
      <c r="G254" s="7"/>
      <c r="H254" s="7"/>
      <c r="I254" s="8" t="str">
        <f t="shared" si="17"/>
        <v/>
      </c>
      <c r="J254" s="8"/>
      <c r="K254" s="8"/>
      <c r="L254" s="8" t="str">
        <f>IF($A254="","",Settings!$B$3+SUMIFS($B$2:$B$495,$A$2:$A$495,"&lt;="&amp;$A254)-SUMIFS($J$2:$J$495,$A$2:$A$495,"&lt;="&amp;$A254)-SUMIFS('Weekly Purchases'!$N$2:$N$503,'Weekly Purchases'!$B$2:$B$503,"&lt;&gt;",'Weekly Purchases'!$B$2:$B$503,"&lt;="&amp;$A254)-SUMIFS('Weekly Purchases'!$N$2:$N$503,'Weekly Purchases'!$B$2:$B$503,"",'Weekly Purchases'!$A$2:$A$503,"&lt;="&amp;$A254))</f>
        <v/>
      </c>
      <c r="M254" s="8" t="str">
        <f>IF($A254="","",Settings!$B$4+SUMIFS($C$2:$C$495,$A$2:$A$495,"&lt;="&amp;$A254)-SUMIFS($K$2:$K$495,$A$2:$A$495,"&lt;="&amp;$A254)-SUMIFS('Weekly Purchases'!$O$2:$O$503,'Weekly Purchases'!$B$2:$B$503,"&lt;&gt;",'Weekly Purchases'!$B$2:$B$503,"&lt;="&amp;$A254)-SUMIFS('Weekly Purchases'!$O$2:$O$503,'Weekly Purchases'!$B$2:$B$503,"",'Weekly Purchases'!$A$2:$A$503,"&lt;="&amp;$A254))</f>
        <v/>
      </c>
      <c r="N254" s="8" t="str">
        <f t="shared" si="18"/>
        <v/>
      </c>
      <c r="O254" s="8" t="str">
        <f t="shared" si="19"/>
        <v/>
      </c>
      <c r="P254" s="4"/>
    </row>
    <row r="255" spans="1:16">
      <c r="A255" s="6"/>
      <c r="B255" s="7"/>
      <c r="C255" s="7"/>
      <c r="D255" s="8" t="str">
        <f t="shared" si="16"/>
        <v/>
      </c>
      <c r="E255" s="7"/>
      <c r="F255" s="7"/>
      <c r="G255" s="7"/>
      <c r="H255" s="7"/>
      <c r="I255" s="8" t="str">
        <f t="shared" si="17"/>
        <v/>
      </c>
      <c r="J255" s="8"/>
      <c r="K255" s="8"/>
      <c r="L255" s="8" t="str">
        <f>IF($A255="","",Settings!$B$3+SUMIFS($B$2:$B$495,$A$2:$A$495,"&lt;="&amp;$A255)-SUMIFS($J$2:$J$495,$A$2:$A$495,"&lt;="&amp;$A255)-SUMIFS('Weekly Purchases'!$N$2:$N$503,'Weekly Purchases'!$B$2:$B$503,"&lt;&gt;",'Weekly Purchases'!$B$2:$B$503,"&lt;="&amp;$A255)-SUMIFS('Weekly Purchases'!$N$2:$N$503,'Weekly Purchases'!$B$2:$B$503,"",'Weekly Purchases'!$A$2:$A$503,"&lt;="&amp;$A255))</f>
        <v/>
      </c>
      <c r="M255" s="8" t="str">
        <f>IF($A255="","",Settings!$B$4+SUMIFS($C$2:$C$495,$A$2:$A$495,"&lt;="&amp;$A255)-SUMIFS($K$2:$K$495,$A$2:$A$495,"&lt;="&amp;$A255)-SUMIFS('Weekly Purchases'!$O$2:$O$503,'Weekly Purchases'!$B$2:$B$503,"&lt;&gt;",'Weekly Purchases'!$B$2:$B$503,"&lt;="&amp;$A255)-SUMIFS('Weekly Purchases'!$O$2:$O$503,'Weekly Purchases'!$B$2:$B$503,"",'Weekly Purchases'!$A$2:$A$503,"&lt;="&amp;$A255))</f>
        <v/>
      </c>
      <c r="N255" s="8" t="str">
        <f t="shared" si="18"/>
        <v/>
      </c>
      <c r="O255" s="8" t="str">
        <f t="shared" si="19"/>
        <v/>
      </c>
      <c r="P255" s="4"/>
    </row>
    <row r="256" spans="1:16">
      <c r="A256" s="6"/>
      <c r="B256" s="7"/>
      <c r="C256" s="7"/>
      <c r="D256" s="8" t="str">
        <f t="shared" si="16"/>
        <v/>
      </c>
      <c r="E256" s="7"/>
      <c r="F256" s="7"/>
      <c r="G256" s="7"/>
      <c r="H256" s="7"/>
      <c r="I256" s="8" t="str">
        <f t="shared" si="17"/>
        <v/>
      </c>
      <c r="J256" s="8"/>
      <c r="K256" s="8"/>
      <c r="L256" s="8" t="str">
        <f>IF($A256="","",Settings!$B$3+SUMIFS($B$2:$B$495,$A$2:$A$495,"&lt;="&amp;$A256)-SUMIFS($J$2:$J$495,$A$2:$A$495,"&lt;="&amp;$A256)-SUMIFS('Weekly Purchases'!$N$2:$N$503,'Weekly Purchases'!$B$2:$B$503,"&lt;&gt;",'Weekly Purchases'!$B$2:$B$503,"&lt;="&amp;$A256)-SUMIFS('Weekly Purchases'!$N$2:$N$503,'Weekly Purchases'!$B$2:$B$503,"",'Weekly Purchases'!$A$2:$A$503,"&lt;="&amp;$A256))</f>
        <v/>
      </c>
      <c r="M256" s="8" t="str">
        <f>IF($A256="","",Settings!$B$4+SUMIFS($C$2:$C$495,$A$2:$A$495,"&lt;="&amp;$A256)-SUMIFS($K$2:$K$495,$A$2:$A$495,"&lt;="&amp;$A256)-SUMIFS('Weekly Purchases'!$O$2:$O$503,'Weekly Purchases'!$B$2:$B$503,"&lt;&gt;",'Weekly Purchases'!$B$2:$B$503,"&lt;="&amp;$A256)-SUMIFS('Weekly Purchases'!$O$2:$O$503,'Weekly Purchases'!$B$2:$B$503,"",'Weekly Purchases'!$A$2:$A$503,"&lt;="&amp;$A256))</f>
        <v/>
      </c>
      <c r="N256" s="8" t="str">
        <f t="shared" si="18"/>
        <v/>
      </c>
      <c r="O256" s="8" t="str">
        <f t="shared" si="19"/>
        <v/>
      </c>
      <c r="P256" s="4"/>
    </row>
    <row r="257" spans="1:16">
      <c r="A257" s="6"/>
      <c r="B257" s="7"/>
      <c r="C257" s="7"/>
      <c r="D257" s="8" t="str">
        <f t="shared" si="16"/>
        <v/>
      </c>
      <c r="E257" s="7"/>
      <c r="F257" s="7"/>
      <c r="G257" s="7"/>
      <c r="H257" s="7"/>
      <c r="I257" s="8" t="str">
        <f t="shared" si="17"/>
        <v/>
      </c>
      <c r="J257" s="8"/>
      <c r="K257" s="8"/>
      <c r="L257" s="8" t="str">
        <f>IF($A257="","",Settings!$B$3+SUMIFS($B$2:$B$495,$A$2:$A$495,"&lt;="&amp;$A257)-SUMIFS($J$2:$J$495,$A$2:$A$495,"&lt;="&amp;$A257)-SUMIFS('Weekly Purchases'!$N$2:$N$503,'Weekly Purchases'!$B$2:$B$503,"&lt;&gt;",'Weekly Purchases'!$B$2:$B$503,"&lt;="&amp;$A257)-SUMIFS('Weekly Purchases'!$N$2:$N$503,'Weekly Purchases'!$B$2:$B$503,"",'Weekly Purchases'!$A$2:$A$503,"&lt;="&amp;$A257))</f>
        <v/>
      </c>
      <c r="M257" s="8" t="str">
        <f>IF($A257="","",Settings!$B$4+SUMIFS($C$2:$C$495,$A$2:$A$495,"&lt;="&amp;$A257)-SUMIFS($K$2:$K$495,$A$2:$A$495,"&lt;="&amp;$A257)-SUMIFS('Weekly Purchases'!$O$2:$O$503,'Weekly Purchases'!$B$2:$B$503,"&lt;&gt;",'Weekly Purchases'!$B$2:$B$503,"&lt;="&amp;$A257)-SUMIFS('Weekly Purchases'!$O$2:$O$503,'Weekly Purchases'!$B$2:$B$503,"",'Weekly Purchases'!$A$2:$A$503,"&lt;="&amp;$A257))</f>
        <v/>
      </c>
      <c r="N257" s="8" t="str">
        <f t="shared" si="18"/>
        <v/>
      </c>
      <c r="O257" s="8" t="str">
        <f t="shared" si="19"/>
        <v/>
      </c>
      <c r="P257" s="4"/>
    </row>
    <row r="258" spans="1:16">
      <c r="A258" s="6"/>
      <c r="B258" s="7"/>
      <c r="C258" s="7"/>
      <c r="D258" s="8" t="str">
        <f t="shared" si="16"/>
        <v/>
      </c>
      <c r="E258" s="7"/>
      <c r="F258" s="7"/>
      <c r="G258" s="7"/>
      <c r="H258" s="7"/>
      <c r="I258" s="8" t="str">
        <f t="shared" si="17"/>
        <v/>
      </c>
      <c r="J258" s="8"/>
      <c r="K258" s="8"/>
      <c r="L258" s="8" t="str">
        <f>IF($A258="","",Settings!$B$3+SUMIFS($B$2:$B$495,$A$2:$A$495,"&lt;="&amp;$A258)-SUMIFS($J$2:$J$495,$A$2:$A$495,"&lt;="&amp;$A258)-SUMIFS('Weekly Purchases'!$N$2:$N$503,'Weekly Purchases'!$B$2:$B$503,"&lt;&gt;",'Weekly Purchases'!$B$2:$B$503,"&lt;="&amp;$A258)-SUMIFS('Weekly Purchases'!$N$2:$N$503,'Weekly Purchases'!$B$2:$B$503,"",'Weekly Purchases'!$A$2:$A$503,"&lt;="&amp;$A258))</f>
        <v/>
      </c>
      <c r="M258" s="8" t="str">
        <f>IF($A258="","",Settings!$B$4+SUMIFS($C$2:$C$495,$A$2:$A$495,"&lt;="&amp;$A258)-SUMIFS($K$2:$K$495,$A$2:$A$495,"&lt;="&amp;$A258)-SUMIFS('Weekly Purchases'!$O$2:$O$503,'Weekly Purchases'!$B$2:$B$503,"&lt;&gt;",'Weekly Purchases'!$B$2:$B$503,"&lt;="&amp;$A258)-SUMIFS('Weekly Purchases'!$O$2:$O$503,'Weekly Purchases'!$B$2:$B$503,"",'Weekly Purchases'!$A$2:$A$503,"&lt;="&amp;$A258))</f>
        <v/>
      </c>
      <c r="N258" s="8" t="str">
        <f t="shared" si="18"/>
        <v/>
      </c>
      <c r="O258" s="8" t="str">
        <f t="shared" si="19"/>
        <v/>
      </c>
      <c r="P258" s="4"/>
    </row>
    <row r="259" spans="1:16">
      <c r="A259" s="6"/>
      <c r="B259" s="7"/>
      <c r="C259" s="7"/>
      <c r="D259" s="8" t="str">
        <f t="shared" si="16"/>
        <v/>
      </c>
      <c r="E259" s="7"/>
      <c r="F259" s="7"/>
      <c r="G259" s="7"/>
      <c r="H259" s="7"/>
      <c r="I259" s="8" t="str">
        <f t="shared" si="17"/>
        <v/>
      </c>
      <c r="J259" s="8"/>
      <c r="K259" s="8"/>
      <c r="L259" s="8" t="str">
        <f>IF($A259="","",Settings!$B$3+SUMIFS($B$2:$B$495,$A$2:$A$495,"&lt;="&amp;$A259)-SUMIFS($J$2:$J$495,$A$2:$A$495,"&lt;="&amp;$A259)-SUMIFS('Weekly Purchases'!$N$2:$N$503,'Weekly Purchases'!$B$2:$B$503,"&lt;&gt;",'Weekly Purchases'!$B$2:$B$503,"&lt;="&amp;$A259)-SUMIFS('Weekly Purchases'!$N$2:$N$503,'Weekly Purchases'!$B$2:$B$503,"",'Weekly Purchases'!$A$2:$A$503,"&lt;="&amp;$A259))</f>
        <v/>
      </c>
      <c r="M259" s="8" t="str">
        <f>IF($A259="","",Settings!$B$4+SUMIFS($C$2:$C$495,$A$2:$A$495,"&lt;="&amp;$A259)-SUMIFS($K$2:$K$495,$A$2:$A$495,"&lt;="&amp;$A259)-SUMIFS('Weekly Purchases'!$O$2:$O$503,'Weekly Purchases'!$B$2:$B$503,"&lt;&gt;",'Weekly Purchases'!$B$2:$B$503,"&lt;="&amp;$A259)-SUMIFS('Weekly Purchases'!$O$2:$O$503,'Weekly Purchases'!$B$2:$B$503,"",'Weekly Purchases'!$A$2:$A$503,"&lt;="&amp;$A259))</f>
        <v/>
      </c>
      <c r="N259" s="8" t="str">
        <f t="shared" si="18"/>
        <v/>
      </c>
      <c r="O259" s="8" t="str">
        <f t="shared" si="19"/>
        <v/>
      </c>
      <c r="P259" s="4"/>
    </row>
    <row r="260" spans="1:16">
      <c r="A260" s="6"/>
      <c r="B260" s="7"/>
      <c r="C260" s="7"/>
      <c r="D260" s="8" t="str">
        <f t="shared" si="16"/>
        <v/>
      </c>
      <c r="E260" s="7"/>
      <c r="F260" s="7"/>
      <c r="G260" s="7"/>
      <c r="H260" s="7"/>
      <c r="I260" s="8" t="str">
        <f t="shared" si="17"/>
        <v/>
      </c>
      <c r="J260" s="8"/>
      <c r="K260" s="8"/>
      <c r="L260" s="8" t="str">
        <f>IF($A260="","",Settings!$B$3+SUMIFS($B$2:$B$495,$A$2:$A$495,"&lt;="&amp;$A260)-SUMIFS($J$2:$J$495,$A$2:$A$495,"&lt;="&amp;$A260)-SUMIFS('Weekly Purchases'!$N$2:$N$503,'Weekly Purchases'!$B$2:$B$503,"&lt;&gt;",'Weekly Purchases'!$B$2:$B$503,"&lt;="&amp;$A260)-SUMIFS('Weekly Purchases'!$N$2:$N$503,'Weekly Purchases'!$B$2:$B$503,"",'Weekly Purchases'!$A$2:$A$503,"&lt;="&amp;$A260))</f>
        <v/>
      </c>
      <c r="M260" s="8" t="str">
        <f>IF($A260="","",Settings!$B$4+SUMIFS($C$2:$C$495,$A$2:$A$495,"&lt;="&amp;$A260)-SUMIFS($K$2:$K$495,$A$2:$A$495,"&lt;="&amp;$A260)-SUMIFS('Weekly Purchases'!$O$2:$O$503,'Weekly Purchases'!$B$2:$B$503,"&lt;&gt;",'Weekly Purchases'!$B$2:$B$503,"&lt;="&amp;$A260)-SUMIFS('Weekly Purchases'!$O$2:$O$503,'Weekly Purchases'!$B$2:$B$503,"",'Weekly Purchases'!$A$2:$A$503,"&lt;="&amp;$A260))</f>
        <v/>
      </c>
      <c r="N260" s="8" t="str">
        <f t="shared" si="18"/>
        <v/>
      </c>
      <c r="O260" s="8" t="str">
        <f t="shared" si="19"/>
        <v/>
      </c>
      <c r="P260" s="4"/>
    </row>
    <row r="261" spans="1:16">
      <c r="A261" s="6"/>
      <c r="B261" s="7"/>
      <c r="C261" s="7"/>
      <c r="D261" s="8" t="str">
        <f t="shared" si="16"/>
        <v/>
      </c>
      <c r="E261" s="7"/>
      <c r="F261" s="7"/>
      <c r="G261" s="7"/>
      <c r="H261" s="7"/>
      <c r="I261" s="8" t="str">
        <f t="shared" si="17"/>
        <v/>
      </c>
      <c r="J261" s="8"/>
      <c r="K261" s="8"/>
      <c r="L261" s="8" t="str">
        <f>IF($A261="","",Settings!$B$3+SUMIFS($B$2:$B$495,$A$2:$A$495,"&lt;="&amp;$A261)-SUMIFS($J$2:$J$495,$A$2:$A$495,"&lt;="&amp;$A261)-SUMIFS('Weekly Purchases'!$N$2:$N$503,'Weekly Purchases'!$B$2:$B$503,"&lt;&gt;",'Weekly Purchases'!$B$2:$B$503,"&lt;="&amp;$A261)-SUMIFS('Weekly Purchases'!$N$2:$N$503,'Weekly Purchases'!$B$2:$B$503,"",'Weekly Purchases'!$A$2:$A$503,"&lt;="&amp;$A261))</f>
        <v/>
      </c>
      <c r="M261" s="8" t="str">
        <f>IF($A261="","",Settings!$B$4+SUMIFS($C$2:$C$495,$A$2:$A$495,"&lt;="&amp;$A261)-SUMIFS($K$2:$K$495,$A$2:$A$495,"&lt;="&amp;$A261)-SUMIFS('Weekly Purchases'!$O$2:$O$503,'Weekly Purchases'!$B$2:$B$503,"&lt;&gt;",'Weekly Purchases'!$B$2:$B$503,"&lt;="&amp;$A261)-SUMIFS('Weekly Purchases'!$O$2:$O$503,'Weekly Purchases'!$B$2:$B$503,"",'Weekly Purchases'!$A$2:$A$503,"&lt;="&amp;$A261))</f>
        <v/>
      </c>
      <c r="N261" s="8" t="str">
        <f t="shared" si="18"/>
        <v/>
      </c>
      <c r="O261" s="8" t="str">
        <f t="shared" si="19"/>
        <v/>
      </c>
      <c r="P261" s="4"/>
    </row>
    <row r="262" spans="1:16">
      <c r="A262" s="6"/>
      <c r="B262" s="7"/>
      <c r="C262" s="7"/>
      <c r="D262" s="8" t="str">
        <f t="shared" si="16"/>
        <v/>
      </c>
      <c r="E262" s="7"/>
      <c r="F262" s="7"/>
      <c r="G262" s="7"/>
      <c r="H262" s="7"/>
      <c r="I262" s="8" t="str">
        <f t="shared" si="17"/>
        <v/>
      </c>
      <c r="J262" s="8"/>
      <c r="K262" s="8"/>
      <c r="L262" s="8" t="str">
        <f>IF($A262="","",Settings!$B$3+SUMIFS($B$2:$B$495,$A$2:$A$495,"&lt;="&amp;$A262)-SUMIFS($J$2:$J$495,$A$2:$A$495,"&lt;="&amp;$A262)-SUMIFS('Weekly Purchases'!$N$2:$N$503,'Weekly Purchases'!$B$2:$B$503,"&lt;&gt;",'Weekly Purchases'!$B$2:$B$503,"&lt;="&amp;$A262)-SUMIFS('Weekly Purchases'!$N$2:$N$503,'Weekly Purchases'!$B$2:$B$503,"",'Weekly Purchases'!$A$2:$A$503,"&lt;="&amp;$A262))</f>
        <v/>
      </c>
      <c r="M262" s="8" t="str">
        <f>IF($A262="","",Settings!$B$4+SUMIFS($C$2:$C$495,$A$2:$A$495,"&lt;="&amp;$A262)-SUMIFS($K$2:$K$495,$A$2:$A$495,"&lt;="&amp;$A262)-SUMIFS('Weekly Purchases'!$O$2:$O$503,'Weekly Purchases'!$B$2:$B$503,"&lt;&gt;",'Weekly Purchases'!$B$2:$B$503,"&lt;="&amp;$A262)-SUMIFS('Weekly Purchases'!$O$2:$O$503,'Weekly Purchases'!$B$2:$B$503,"",'Weekly Purchases'!$A$2:$A$503,"&lt;="&amp;$A262))</f>
        <v/>
      </c>
      <c r="N262" s="8" t="str">
        <f t="shared" si="18"/>
        <v/>
      </c>
      <c r="O262" s="8" t="str">
        <f t="shared" si="19"/>
        <v/>
      </c>
      <c r="P262" s="4"/>
    </row>
    <row r="263" spans="1:16">
      <c r="A263" s="6"/>
      <c r="B263" s="7"/>
      <c r="C263" s="7"/>
      <c r="D263" s="8" t="str">
        <f t="shared" si="16"/>
        <v/>
      </c>
      <c r="E263" s="7"/>
      <c r="F263" s="7"/>
      <c r="G263" s="7"/>
      <c r="H263" s="7"/>
      <c r="I263" s="8" t="str">
        <f t="shared" si="17"/>
        <v/>
      </c>
      <c r="J263" s="8"/>
      <c r="K263" s="8"/>
      <c r="L263" s="8" t="str">
        <f>IF($A263="","",Settings!$B$3+SUMIFS($B$2:$B$495,$A$2:$A$495,"&lt;="&amp;$A263)-SUMIFS($J$2:$J$495,$A$2:$A$495,"&lt;="&amp;$A263)-SUMIFS('Weekly Purchases'!$N$2:$N$503,'Weekly Purchases'!$B$2:$B$503,"&lt;&gt;",'Weekly Purchases'!$B$2:$B$503,"&lt;="&amp;$A263)-SUMIFS('Weekly Purchases'!$N$2:$N$503,'Weekly Purchases'!$B$2:$B$503,"",'Weekly Purchases'!$A$2:$A$503,"&lt;="&amp;$A263))</f>
        <v/>
      </c>
      <c r="M263" s="8" t="str">
        <f>IF($A263="","",Settings!$B$4+SUMIFS($C$2:$C$495,$A$2:$A$495,"&lt;="&amp;$A263)-SUMIFS($K$2:$K$495,$A$2:$A$495,"&lt;="&amp;$A263)-SUMIFS('Weekly Purchases'!$O$2:$O$503,'Weekly Purchases'!$B$2:$B$503,"&lt;&gt;",'Weekly Purchases'!$B$2:$B$503,"&lt;="&amp;$A263)-SUMIFS('Weekly Purchases'!$O$2:$O$503,'Weekly Purchases'!$B$2:$B$503,"",'Weekly Purchases'!$A$2:$A$503,"&lt;="&amp;$A263))</f>
        <v/>
      </c>
      <c r="N263" s="8" t="str">
        <f t="shared" si="18"/>
        <v/>
      </c>
      <c r="O263" s="8" t="str">
        <f t="shared" si="19"/>
        <v/>
      </c>
      <c r="P263" s="4"/>
    </row>
    <row r="264" spans="1:16">
      <c r="A264" s="6"/>
      <c r="B264" s="7"/>
      <c r="C264" s="7"/>
      <c r="D264" s="8" t="str">
        <f t="shared" si="16"/>
        <v/>
      </c>
      <c r="E264" s="7"/>
      <c r="F264" s="7"/>
      <c r="G264" s="7"/>
      <c r="H264" s="7"/>
      <c r="I264" s="8" t="str">
        <f t="shared" si="17"/>
        <v/>
      </c>
      <c r="J264" s="8"/>
      <c r="K264" s="8"/>
      <c r="L264" s="8" t="str">
        <f>IF($A264="","",Settings!$B$3+SUMIFS($B$2:$B$495,$A$2:$A$495,"&lt;="&amp;$A264)-SUMIFS($J$2:$J$495,$A$2:$A$495,"&lt;="&amp;$A264)-SUMIFS('Weekly Purchases'!$N$2:$N$503,'Weekly Purchases'!$B$2:$B$503,"&lt;&gt;",'Weekly Purchases'!$B$2:$B$503,"&lt;="&amp;$A264)-SUMIFS('Weekly Purchases'!$N$2:$N$503,'Weekly Purchases'!$B$2:$B$503,"",'Weekly Purchases'!$A$2:$A$503,"&lt;="&amp;$A264))</f>
        <v/>
      </c>
      <c r="M264" s="8" t="str">
        <f>IF($A264="","",Settings!$B$4+SUMIFS($C$2:$C$495,$A$2:$A$495,"&lt;="&amp;$A264)-SUMIFS($K$2:$K$495,$A$2:$A$495,"&lt;="&amp;$A264)-SUMIFS('Weekly Purchases'!$O$2:$O$503,'Weekly Purchases'!$B$2:$B$503,"&lt;&gt;",'Weekly Purchases'!$B$2:$B$503,"&lt;="&amp;$A264)-SUMIFS('Weekly Purchases'!$O$2:$O$503,'Weekly Purchases'!$B$2:$B$503,"",'Weekly Purchases'!$A$2:$A$503,"&lt;="&amp;$A264))</f>
        <v/>
      </c>
      <c r="N264" s="8" t="str">
        <f t="shared" si="18"/>
        <v/>
      </c>
      <c r="O264" s="8" t="str">
        <f t="shared" si="19"/>
        <v/>
      </c>
      <c r="P264" s="4"/>
    </row>
    <row r="265" spans="1:16">
      <c r="A265" s="6"/>
      <c r="B265" s="7"/>
      <c r="C265" s="7"/>
      <c r="D265" s="8" t="str">
        <f t="shared" si="16"/>
        <v/>
      </c>
      <c r="E265" s="7"/>
      <c r="F265" s="7"/>
      <c r="G265" s="7"/>
      <c r="H265" s="7"/>
      <c r="I265" s="8" t="str">
        <f t="shared" si="17"/>
        <v/>
      </c>
      <c r="J265" s="8"/>
      <c r="K265" s="8"/>
      <c r="L265" s="8" t="str">
        <f>IF($A265="","",Settings!$B$3+SUMIFS($B$2:$B$495,$A$2:$A$495,"&lt;="&amp;$A265)-SUMIFS($J$2:$J$495,$A$2:$A$495,"&lt;="&amp;$A265)-SUMIFS('Weekly Purchases'!$N$2:$N$503,'Weekly Purchases'!$B$2:$B$503,"&lt;&gt;",'Weekly Purchases'!$B$2:$B$503,"&lt;="&amp;$A265)-SUMIFS('Weekly Purchases'!$N$2:$N$503,'Weekly Purchases'!$B$2:$B$503,"",'Weekly Purchases'!$A$2:$A$503,"&lt;="&amp;$A265))</f>
        <v/>
      </c>
      <c r="M265" s="8" t="str">
        <f>IF($A265="","",Settings!$B$4+SUMIFS($C$2:$C$495,$A$2:$A$495,"&lt;="&amp;$A265)-SUMIFS($K$2:$K$495,$A$2:$A$495,"&lt;="&amp;$A265)-SUMIFS('Weekly Purchases'!$O$2:$O$503,'Weekly Purchases'!$B$2:$B$503,"&lt;&gt;",'Weekly Purchases'!$B$2:$B$503,"&lt;="&amp;$A265)-SUMIFS('Weekly Purchases'!$O$2:$O$503,'Weekly Purchases'!$B$2:$B$503,"",'Weekly Purchases'!$A$2:$A$503,"&lt;="&amp;$A265))</f>
        <v/>
      </c>
      <c r="N265" s="8" t="str">
        <f t="shared" si="18"/>
        <v/>
      </c>
      <c r="O265" s="8" t="str">
        <f t="shared" si="19"/>
        <v/>
      </c>
      <c r="P265" s="4"/>
    </row>
    <row r="266" spans="1:16">
      <c r="A266" s="6"/>
      <c r="B266" s="7"/>
      <c r="C266" s="7"/>
      <c r="D266" s="8" t="str">
        <f t="shared" si="16"/>
        <v/>
      </c>
      <c r="E266" s="7"/>
      <c r="F266" s="7"/>
      <c r="G266" s="7"/>
      <c r="H266" s="7"/>
      <c r="I266" s="8" t="str">
        <f t="shared" si="17"/>
        <v/>
      </c>
      <c r="J266" s="8"/>
      <c r="K266" s="8"/>
      <c r="L266" s="8" t="str">
        <f>IF($A266="","",Settings!$B$3+SUMIFS($B$2:$B$495,$A$2:$A$495,"&lt;="&amp;$A266)-SUMIFS($J$2:$J$495,$A$2:$A$495,"&lt;="&amp;$A266)-SUMIFS('Weekly Purchases'!$N$2:$N$503,'Weekly Purchases'!$B$2:$B$503,"&lt;&gt;",'Weekly Purchases'!$B$2:$B$503,"&lt;="&amp;$A266)-SUMIFS('Weekly Purchases'!$N$2:$N$503,'Weekly Purchases'!$B$2:$B$503,"",'Weekly Purchases'!$A$2:$A$503,"&lt;="&amp;$A266))</f>
        <v/>
      </c>
      <c r="M266" s="8" t="str">
        <f>IF($A266="","",Settings!$B$4+SUMIFS($C$2:$C$495,$A$2:$A$495,"&lt;="&amp;$A266)-SUMIFS($K$2:$K$495,$A$2:$A$495,"&lt;="&amp;$A266)-SUMIFS('Weekly Purchases'!$O$2:$O$503,'Weekly Purchases'!$B$2:$B$503,"&lt;&gt;",'Weekly Purchases'!$B$2:$B$503,"&lt;="&amp;$A266)-SUMIFS('Weekly Purchases'!$O$2:$O$503,'Weekly Purchases'!$B$2:$B$503,"",'Weekly Purchases'!$A$2:$A$503,"&lt;="&amp;$A266))</f>
        <v/>
      </c>
      <c r="N266" s="8" t="str">
        <f t="shared" si="18"/>
        <v/>
      </c>
      <c r="O266" s="8" t="str">
        <f t="shared" si="19"/>
        <v/>
      </c>
      <c r="P266" s="4"/>
    </row>
    <row r="267" spans="1:16">
      <c r="A267" s="6"/>
      <c r="B267" s="7"/>
      <c r="C267" s="7"/>
      <c r="D267" s="8" t="str">
        <f t="shared" si="16"/>
        <v/>
      </c>
      <c r="E267" s="7"/>
      <c r="F267" s="7"/>
      <c r="G267" s="7"/>
      <c r="H267" s="7"/>
      <c r="I267" s="8" t="str">
        <f t="shared" si="17"/>
        <v/>
      </c>
      <c r="J267" s="8"/>
      <c r="K267" s="8"/>
      <c r="L267" s="8" t="str">
        <f>IF($A267="","",Settings!$B$3+SUMIFS($B$2:$B$495,$A$2:$A$495,"&lt;="&amp;$A267)-SUMIFS($J$2:$J$495,$A$2:$A$495,"&lt;="&amp;$A267)-SUMIFS('Weekly Purchases'!$N$2:$N$503,'Weekly Purchases'!$B$2:$B$503,"&lt;&gt;",'Weekly Purchases'!$B$2:$B$503,"&lt;="&amp;$A267)-SUMIFS('Weekly Purchases'!$N$2:$N$503,'Weekly Purchases'!$B$2:$B$503,"",'Weekly Purchases'!$A$2:$A$503,"&lt;="&amp;$A267))</f>
        <v/>
      </c>
      <c r="M267" s="8" t="str">
        <f>IF($A267="","",Settings!$B$4+SUMIFS($C$2:$C$495,$A$2:$A$495,"&lt;="&amp;$A267)-SUMIFS($K$2:$K$495,$A$2:$A$495,"&lt;="&amp;$A267)-SUMIFS('Weekly Purchases'!$O$2:$O$503,'Weekly Purchases'!$B$2:$B$503,"&lt;&gt;",'Weekly Purchases'!$B$2:$B$503,"&lt;="&amp;$A267)-SUMIFS('Weekly Purchases'!$O$2:$O$503,'Weekly Purchases'!$B$2:$B$503,"",'Weekly Purchases'!$A$2:$A$503,"&lt;="&amp;$A267))</f>
        <v/>
      </c>
      <c r="N267" s="8" t="str">
        <f t="shared" si="18"/>
        <v/>
      </c>
      <c r="O267" s="8" t="str">
        <f t="shared" si="19"/>
        <v/>
      </c>
      <c r="P267" s="4"/>
    </row>
    <row r="268" spans="1:16">
      <c r="A268" s="6"/>
      <c r="B268" s="7"/>
      <c r="C268" s="7"/>
      <c r="D268" s="8" t="str">
        <f t="shared" si="16"/>
        <v/>
      </c>
      <c r="E268" s="7"/>
      <c r="F268" s="7"/>
      <c r="G268" s="7"/>
      <c r="H268" s="7"/>
      <c r="I268" s="8" t="str">
        <f t="shared" si="17"/>
        <v/>
      </c>
      <c r="J268" s="8"/>
      <c r="K268" s="8"/>
      <c r="L268" s="8" t="str">
        <f>IF($A268="","",Settings!$B$3+SUMIFS($B$2:$B$495,$A$2:$A$495,"&lt;="&amp;$A268)-SUMIFS($J$2:$J$495,$A$2:$A$495,"&lt;="&amp;$A268)-SUMIFS('Weekly Purchases'!$N$2:$N$503,'Weekly Purchases'!$B$2:$B$503,"&lt;&gt;",'Weekly Purchases'!$B$2:$B$503,"&lt;="&amp;$A268)-SUMIFS('Weekly Purchases'!$N$2:$N$503,'Weekly Purchases'!$B$2:$B$503,"",'Weekly Purchases'!$A$2:$A$503,"&lt;="&amp;$A268))</f>
        <v/>
      </c>
      <c r="M268" s="8" t="str">
        <f>IF($A268="","",Settings!$B$4+SUMIFS($C$2:$C$495,$A$2:$A$495,"&lt;="&amp;$A268)-SUMIFS($K$2:$K$495,$A$2:$A$495,"&lt;="&amp;$A268)-SUMIFS('Weekly Purchases'!$O$2:$O$503,'Weekly Purchases'!$B$2:$B$503,"&lt;&gt;",'Weekly Purchases'!$B$2:$B$503,"&lt;="&amp;$A268)-SUMIFS('Weekly Purchases'!$O$2:$O$503,'Weekly Purchases'!$B$2:$B$503,"",'Weekly Purchases'!$A$2:$A$503,"&lt;="&amp;$A268))</f>
        <v/>
      </c>
      <c r="N268" s="8" t="str">
        <f t="shared" si="18"/>
        <v/>
      </c>
      <c r="O268" s="8" t="str">
        <f t="shared" si="19"/>
        <v/>
      </c>
      <c r="P268" s="4"/>
    </row>
    <row r="269" spans="1:16">
      <c r="A269" s="6"/>
      <c r="B269" s="7"/>
      <c r="C269" s="7"/>
      <c r="D269" s="8" t="str">
        <f t="shared" si="16"/>
        <v/>
      </c>
      <c r="E269" s="7"/>
      <c r="F269" s="7"/>
      <c r="G269" s="7"/>
      <c r="H269" s="7"/>
      <c r="I269" s="8" t="str">
        <f t="shared" si="17"/>
        <v/>
      </c>
      <c r="J269" s="8"/>
      <c r="K269" s="8"/>
      <c r="L269" s="8" t="str">
        <f>IF($A269="","",Settings!$B$3+SUMIFS($B$2:$B$495,$A$2:$A$495,"&lt;="&amp;$A269)-SUMIFS($J$2:$J$495,$A$2:$A$495,"&lt;="&amp;$A269)-SUMIFS('Weekly Purchases'!$N$2:$N$503,'Weekly Purchases'!$B$2:$B$503,"&lt;&gt;",'Weekly Purchases'!$B$2:$B$503,"&lt;="&amp;$A269)-SUMIFS('Weekly Purchases'!$N$2:$N$503,'Weekly Purchases'!$B$2:$B$503,"",'Weekly Purchases'!$A$2:$A$503,"&lt;="&amp;$A269))</f>
        <v/>
      </c>
      <c r="M269" s="8" t="str">
        <f>IF($A269="","",Settings!$B$4+SUMIFS($C$2:$C$495,$A$2:$A$495,"&lt;="&amp;$A269)-SUMIFS($K$2:$K$495,$A$2:$A$495,"&lt;="&amp;$A269)-SUMIFS('Weekly Purchases'!$O$2:$O$503,'Weekly Purchases'!$B$2:$B$503,"&lt;&gt;",'Weekly Purchases'!$B$2:$B$503,"&lt;="&amp;$A269)-SUMIFS('Weekly Purchases'!$O$2:$O$503,'Weekly Purchases'!$B$2:$B$503,"",'Weekly Purchases'!$A$2:$A$503,"&lt;="&amp;$A269))</f>
        <v/>
      </c>
      <c r="N269" s="8" t="str">
        <f t="shared" si="18"/>
        <v/>
      </c>
      <c r="O269" s="8" t="str">
        <f t="shared" si="19"/>
        <v/>
      </c>
      <c r="P269" s="4"/>
    </row>
    <row r="270" spans="1:16">
      <c r="A270" s="6"/>
      <c r="B270" s="7"/>
      <c r="C270" s="7"/>
      <c r="D270" s="8" t="str">
        <f t="shared" si="16"/>
        <v/>
      </c>
      <c r="E270" s="7"/>
      <c r="F270" s="7"/>
      <c r="G270" s="7"/>
      <c r="H270" s="7"/>
      <c r="I270" s="8" t="str">
        <f t="shared" si="17"/>
        <v/>
      </c>
      <c r="J270" s="8"/>
      <c r="K270" s="8"/>
      <c r="L270" s="8" t="str">
        <f>IF($A270="","",Settings!$B$3+SUMIFS($B$2:$B$495,$A$2:$A$495,"&lt;="&amp;$A270)-SUMIFS($J$2:$J$495,$A$2:$A$495,"&lt;="&amp;$A270)-SUMIFS('Weekly Purchases'!$N$2:$N$503,'Weekly Purchases'!$B$2:$B$503,"&lt;&gt;",'Weekly Purchases'!$B$2:$B$503,"&lt;="&amp;$A270)-SUMIFS('Weekly Purchases'!$N$2:$N$503,'Weekly Purchases'!$B$2:$B$503,"",'Weekly Purchases'!$A$2:$A$503,"&lt;="&amp;$A270))</f>
        <v/>
      </c>
      <c r="M270" s="8" t="str">
        <f>IF($A270="","",Settings!$B$4+SUMIFS($C$2:$C$495,$A$2:$A$495,"&lt;="&amp;$A270)-SUMIFS($K$2:$K$495,$A$2:$A$495,"&lt;="&amp;$A270)-SUMIFS('Weekly Purchases'!$O$2:$O$503,'Weekly Purchases'!$B$2:$B$503,"&lt;&gt;",'Weekly Purchases'!$B$2:$B$503,"&lt;="&amp;$A270)-SUMIFS('Weekly Purchases'!$O$2:$O$503,'Weekly Purchases'!$B$2:$B$503,"",'Weekly Purchases'!$A$2:$A$503,"&lt;="&amp;$A270))</f>
        <v/>
      </c>
      <c r="N270" s="8" t="str">
        <f t="shared" si="18"/>
        <v/>
      </c>
      <c r="O270" s="8" t="str">
        <f t="shared" si="19"/>
        <v/>
      </c>
      <c r="P270" s="4"/>
    </row>
    <row r="271" spans="1:16">
      <c r="A271" s="6"/>
      <c r="B271" s="7"/>
      <c r="C271" s="7"/>
      <c r="D271" s="8" t="str">
        <f t="shared" si="16"/>
        <v/>
      </c>
      <c r="E271" s="7"/>
      <c r="F271" s="7"/>
      <c r="G271" s="7"/>
      <c r="H271" s="7"/>
      <c r="I271" s="8" t="str">
        <f t="shared" si="17"/>
        <v/>
      </c>
      <c r="J271" s="8"/>
      <c r="K271" s="8"/>
      <c r="L271" s="8" t="str">
        <f>IF($A271="","",Settings!$B$3+SUMIFS($B$2:$B$495,$A$2:$A$495,"&lt;="&amp;$A271)-SUMIFS($J$2:$J$495,$A$2:$A$495,"&lt;="&amp;$A271)-SUMIFS('Weekly Purchases'!$N$2:$N$503,'Weekly Purchases'!$B$2:$B$503,"&lt;&gt;",'Weekly Purchases'!$B$2:$B$503,"&lt;="&amp;$A271)-SUMIFS('Weekly Purchases'!$N$2:$N$503,'Weekly Purchases'!$B$2:$B$503,"",'Weekly Purchases'!$A$2:$A$503,"&lt;="&amp;$A271))</f>
        <v/>
      </c>
      <c r="M271" s="8" t="str">
        <f>IF($A271="","",Settings!$B$4+SUMIFS($C$2:$C$495,$A$2:$A$495,"&lt;="&amp;$A271)-SUMIFS($K$2:$K$495,$A$2:$A$495,"&lt;="&amp;$A271)-SUMIFS('Weekly Purchases'!$O$2:$O$503,'Weekly Purchases'!$B$2:$B$503,"&lt;&gt;",'Weekly Purchases'!$B$2:$B$503,"&lt;="&amp;$A271)-SUMIFS('Weekly Purchases'!$O$2:$O$503,'Weekly Purchases'!$B$2:$B$503,"",'Weekly Purchases'!$A$2:$A$503,"&lt;="&amp;$A271))</f>
        <v/>
      </c>
      <c r="N271" s="8" t="str">
        <f t="shared" si="18"/>
        <v/>
      </c>
      <c r="O271" s="8" t="str">
        <f t="shared" si="19"/>
        <v/>
      </c>
      <c r="P271" s="4"/>
    </row>
    <row r="272" spans="1:16">
      <c r="A272" s="6"/>
      <c r="B272" s="7"/>
      <c r="C272" s="7"/>
      <c r="D272" s="8" t="str">
        <f t="shared" si="16"/>
        <v/>
      </c>
      <c r="E272" s="7"/>
      <c r="F272" s="7"/>
      <c r="G272" s="7"/>
      <c r="H272" s="7"/>
      <c r="I272" s="8" t="str">
        <f t="shared" si="17"/>
        <v/>
      </c>
      <c r="J272" s="8"/>
      <c r="K272" s="8"/>
      <c r="L272" s="8" t="str">
        <f>IF($A272="","",Settings!$B$3+SUMIFS($B$2:$B$495,$A$2:$A$495,"&lt;="&amp;$A272)-SUMIFS($J$2:$J$495,$A$2:$A$495,"&lt;="&amp;$A272)-SUMIFS('Weekly Purchases'!$N$2:$N$503,'Weekly Purchases'!$B$2:$B$503,"&lt;&gt;",'Weekly Purchases'!$B$2:$B$503,"&lt;="&amp;$A272)-SUMIFS('Weekly Purchases'!$N$2:$N$503,'Weekly Purchases'!$B$2:$B$503,"",'Weekly Purchases'!$A$2:$A$503,"&lt;="&amp;$A272))</f>
        <v/>
      </c>
      <c r="M272" s="8" t="str">
        <f>IF($A272="","",Settings!$B$4+SUMIFS($C$2:$C$495,$A$2:$A$495,"&lt;="&amp;$A272)-SUMIFS($K$2:$K$495,$A$2:$A$495,"&lt;="&amp;$A272)-SUMIFS('Weekly Purchases'!$O$2:$O$503,'Weekly Purchases'!$B$2:$B$503,"&lt;&gt;",'Weekly Purchases'!$B$2:$B$503,"&lt;="&amp;$A272)-SUMIFS('Weekly Purchases'!$O$2:$O$503,'Weekly Purchases'!$B$2:$B$503,"",'Weekly Purchases'!$A$2:$A$503,"&lt;="&amp;$A272))</f>
        <v/>
      </c>
      <c r="N272" s="8" t="str">
        <f t="shared" si="18"/>
        <v/>
      </c>
      <c r="O272" s="8" t="str">
        <f t="shared" si="19"/>
        <v/>
      </c>
      <c r="P272" s="4"/>
    </row>
    <row r="273" spans="1:16">
      <c r="A273" s="6"/>
      <c r="B273" s="7"/>
      <c r="C273" s="7"/>
      <c r="D273" s="8" t="str">
        <f t="shared" si="16"/>
        <v/>
      </c>
      <c r="E273" s="7"/>
      <c r="F273" s="7"/>
      <c r="G273" s="7"/>
      <c r="H273" s="7"/>
      <c r="I273" s="8" t="str">
        <f t="shared" si="17"/>
        <v/>
      </c>
      <c r="J273" s="8"/>
      <c r="K273" s="8"/>
      <c r="L273" s="8" t="str">
        <f>IF($A273="","",Settings!$B$3+SUMIFS($B$2:$B$495,$A$2:$A$495,"&lt;="&amp;$A273)-SUMIFS($J$2:$J$495,$A$2:$A$495,"&lt;="&amp;$A273)-SUMIFS('Weekly Purchases'!$N$2:$N$503,'Weekly Purchases'!$B$2:$B$503,"&lt;&gt;",'Weekly Purchases'!$B$2:$B$503,"&lt;="&amp;$A273)-SUMIFS('Weekly Purchases'!$N$2:$N$503,'Weekly Purchases'!$B$2:$B$503,"",'Weekly Purchases'!$A$2:$A$503,"&lt;="&amp;$A273))</f>
        <v/>
      </c>
      <c r="M273" s="8" t="str">
        <f>IF($A273="","",Settings!$B$4+SUMIFS($C$2:$C$495,$A$2:$A$495,"&lt;="&amp;$A273)-SUMIFS($K$2:$K$495,$A$2:$A$495,"&lt;="&amp;$A273)-SUMIFS('Weekly Purchases'!$O$2:$O$503,'Weekly Purchases'!$B$2:$B$503,"&lt;&gt;",'Weekly Purchases'!$B$2:$B$503,"&lt;="&amp;$A273)-SUMIFS('Weekly Purchases'!$O$2:$O$503,'Weekly Purchases'!$B$2:$B$503,"",'Weekly Purchases'!$A$2:$A$503,"&lt;="&amp;$A273))</f>
        <v/>
      </c>
      <c r="N273" s="8" t="str">
        <f t="shared" si="18"/>
        <v/>
      </c>
      <c r="O273" s="8" t="str">
        <f t="shared" si="19"/>
        <v/>
      </c>
      <c r="P273" s="4"/>
    </row>
    <row r="274" spans="1:16">
      <c r="A274" s="6"/>
      <c r="B274" s="7"/>
      <c r="C274" s="7"/>
      <c r="D274" s="8" t="str">
        <f t="shared" si="16"/>
        <v/>
      </c>
      <c r="E274" s="7"/>
      <c r="F274" s="7"/>
      <c r="G274" s="7"/>
      <c r="H274" s="7"/>
      <c r="I274" s="8" t="str">
        <f t="shared" si="17"/>
        <v/>
      </c>
      <c r="J274" s="8"/>
      <c r="K274" s="8"/>
      <c r="L274" s="8" t="str">
        <f>IF($A274="","",Settings!$B$3+SUMIFS($B$2:$B$495,$A$2:$A$495,"&lt;="&amp;$A274)-SUMIFS($J$2:$J$495,$A$2:$A$495,"&lt;="&amp;$A274)-SUMIFS('Weekly Purchases'!$N$2:$N$503,'Weekly Purchases'!$B$2:$B$503,"&lt;&gt;",'Weekly Purchases'!$B$2:$B$503,"&lt;="&amp;$A274)-SUMIFS('Weekly Purchases'!$N$2:$N$503,'Weekly Purchases'!$B$2:$B$503,"",'Weekly Purchases'!$A$2:$A$503,"&lt;="&amp;$A274))</f>
        <v/>
      </c>
      <c r="M274" s="8" t="str">
        <f>IF($A274="","",Settings!$B$4+SUMIFS($C$2:$C$495,$A$2:$A$495,"&lt;="&amp;$A274)-SUMIFS($K$2:$K$495,$A$2:$A$495,"&lt;="&amp;$A274)-SUMIFS('Weekly Purchases'!$O$2:$O$503,'Weekly Purchases'!$B$2:$B$503,"&lt;&gt;",'Weekly Purchases'!$B$2:$B$503,"&lt;="&amp;$A274)-SUMIFS('Weekly Purchases'!$O$2:$O$503,'Weekly Purchases'!$B$2:$B$503,"",'Weekly Purchases'!$A$2:$A$503,"&lt;="&amp;$A274))</f>
        <v/>
      </c>
      <c r="N274" s="8" t="str">
        <f t="shared" si="18"/>
        <v/>
      </c>
      <c r="O274" s="8" t="str">
        <f t="shared" si="19"/>
        <v/>
      </c>
      <c r="P274" s="4"/>
    </row>
    <row r="275" spans="1:16">
      <c r="A275" s="6"/>
      <c r="B275" s="7"/>
      <c r="C275" s="7"/>
      <c r="D275" s="8" t="str">
        <f t="shared" si="16"/>
        <v/>
      </c>
      <c r="E275" s="7"/>
      <c r="F275" s="7"/>
      <c r="G275" s="7"/>
      <c r="H275" s="7"/>
      <c r="I275" s="8" t="str">
        <f t="shared" si="17"/>
        <v/>
      </c>
      <c r="J275" s="8"/>
      <c r="K275" s="8"/>
      <c r="L275" s="8" t="str">
        <f>IF($A275="","",Settings!$B$3+SUMIFS($B$2:$B$495,$A$2:$A$495,"&lt;="&amp;$A275)-SUMIFS($J$2:$J$495,$A$2:$A$495,"&lt;="&amp;$A275)-SUMIFS('Weekly Purchases'!$N$2:$N$503,'Weekly Purchases'!$B$2:$B$503,"&lt;&gt;",'Weekly Purchases'!$B$2:$B$503,"&lt;="&amp;$A275)-SUMIFS('Weekly Purchases'!$N$2:$N$503,'Weekly Purchases'!$B$2:$B$503,"",'Weekly Purchases'!$A$2:$A$503,"&lt;="&amp;$A275))</f>
        <v/>
      </c>
      <c r="M275" s="8" t="str">
        <f>IF($A275="","",Settings!$B$4+SUMIFS($C$2:$C$495,$A$2:$A$495,"&lt;="&amp;$A275)-SUMIFS($K$2:$K$495,$A$2:$A$495,"&lt;="&amp;$A275)-SUMIFS('Weekly Purchases'!$O$2:$O$503,'Weekly Purchases'!$B$2:$B$503,"&lt;&gt;",'Weekly Purchases'!$B$2:$B$503,"&lt;="&amp;$A275)-SUMIFS('Weekly Purchases'!$O$2:$O$503,'Weekly Purchases'!$B$2:$B$503,"",'Weekly Purchases'!$A$2:$A$503,"&lt;="&amp;$A275))</f>
        <v/>
      </c>
      <c r="N275" s="8" t="str">
        <f t="shared" si="18"/>
        <v/>
      </c>
      <c r="O275" s="8" t="str">
        <f t="shared" si="19"/>
        <v/>
      </c>
      <c r="P275" s="4"/>
    </row>
    <row r="276" spans="1:16">
      <c r="A276" s="6"/>
      <c r="B276" s="7"/>
      <c r="C276" s="7"/>
      <c r="D276" s="8" t="str">
        <f t="shared" si="16"/>
        <v/>
      </c>
      <c r="E276" s="7"/>
      <c r="F276" s="7"/>
      <c r="G276" s="7"/>
      <c r="H276" s="7"/>
      <c r="I276" s="8" t="str">
        <f t="shared" si="17"/>
        <v/>
      </c>
      <c r="J276" s="8"/>
      <c r="K276" s="8"/>
      <c r="L276" s="8" t="str">
        <f>IF($A276="","",Settings!$B$3+SUMIFS($B$2:$B$495,$A$2:$A$495,"&lt;="&amp;$A276)-SUMIFS($J$2:$J$495,$A$2:$A$495,"&lt;="&amp;$A276)-SUMIFS('Weekly Purchases'!$N$2:$N$503,'Weekly Purchases'!$B$2:$B$503,"&lt;&gt;",'Weekly Purchases'!$B$2:$B$503,"&lt;="&amp;$A276)-SUMIFS('Weekly Purchases'!$N$2:$N$503,'Weekly Purchases'!$B$2:$B$503,"",'Weekly Purchases'!$A$2:$A$503,"&lt;="&amp;$A276))</f>
        <v/>
      </c>
      <c r="M276" s="8" t="str">
        <f>IF($A276="","",Settings!$B$4+SUMIFS($C$2:$C$495,$A$2:$A$495,"&lt;="&amp;$A276)-SUMIFS($K$2:$K$495,$A$2:$A$495,"&lt;="&amp;$A276)-SUMIFS('Weekly Purchases'!$O$2:$O$503,'Weekly Purchases'!$B$2:$B$503,"&lt;&gt;",'Weekly Purchases'!$B$2:$B$503,"&lt;="&amp;$A276)-SUMIFS('Weekly Purchases'!$O$2:$O$503,'Weekly Purchases'!$B$2:$B$503,"",'Weekly Purchases'!$A$2:$A$503,"&lt;="&amp;$A276))</f>
        <v/>
      </c>
      <c r="N276" s="8" t="str">
        <f t="shared" si="18"/>
        <v/>
      </c>
      <c r="O276" s="8" t="str">
        <f t="shared" si="19"/>
        <v/>
      </c>
      <c r="P276" s="4"/>
    </row>
    <row r="277" spans="1:16">
      <c r="A277" s="6"/>
      <c r="B277" s="7"/>
      <c r="C277" s="7"/>
      <c r="D277" s="8" t="str">
        <f t="shared" si="16"/>
        <v/>
      </c>
      <c r="E277" s="7"/>
      <c r="F277" s="7"/>
      <c r="G277" s="7"/>
      <c r="H277" s="7"/>
      <c r="I277" s="8" t="str">
        <f t="shared" si="17"/>
        <v/>
      </c>
      <c r="J277" s="8"/>
      <c r="K277" s="8"/>
      <c r="L277" s="8" t="str">
        <f>IF($A277="","",Settings!$B$3+SUMIFS($B$2:$B$495,$A$2:$A$495,"&lt;="&amp;$A277)-SUMIFS($J$2:$J$495,$A$2:$A$495,"&lt;="&amp;$A277)-SUMIFS('Weekly Purchases'!$N$2:$N$503,'Weekly Purchases'!$B$2:$B$503,"&lt;&gt;",'Weekly Purchases'!$B$2:$B$503,"&lt;="&amp;$A277)-SUMIFS('Weekly Purchases'!$N$2:$N$503,'Weekly Purchases'!$B$2:$B$503,"",'Weekly Purchases'!$A$2:$A$503,"&lt;="&amp;$A277))</f>
        <v/>
      </c>
      <c r="M277" s="8" t="str">
        <f>IF($A277="","",Settings!$B$4+SUMIFS($C$2:$C$495,$A$2:$A$495,"&lt;="&amp;$A277)-SUMIFS($K$2:$K$495,$A$2:$A$495,"&lt;="&amp;$A277)-SUMIFS('Weekly Purchases'!$O$2:$O$503,'Weekly Purchases'!$B$2:$B$503,"&lt;&gt;",'Weekly Purchases'!$B$2:$B$503,"&lt;="&amp;$A277)-SUMIFS('Weekly Purchases'!$O$2:$O$503,'Weekly Purchases'!$B$2:$B$503,"",'Weekly Purchases'!$A$2:$A$503,"&lt;="&amp;$A277))</f>
        <v/>
      </c>
      <c r="N277" s="8" t="str">
        <f t="shared" si="18"/>
        <v/>
      </c>
      <c r="O277" s="8" t="str">
        <f t="shared" si="19"/>
        <v/>
      </c>
      <c r="P277" s="4"/>
    </row>
    <row r="278" spans="1:16">
      <c r="A278" s="6"/>
      <c r="B278" s="7"/>
      <c r="C278" s="7"/>
      <c r="D278" s="8" t="str">
        <f t="shared" si="16"/>
        <v/>
      </c>
      <c r="E278" s="7"/>
      <c r="F278" s="7"/>
      <c r="G278" s="7"/>
      <c r="H278" s="7"/>
      <c r="I278" s="8" t="str">
        <f t="shared" si="17"/>
        <v/>
      </c>
      <c r="J278" s="8"/>
      <c r="K278" s="8"/>
      <c r="L278" s="8" t="str">
        <f>IF($A278="","",Settings!$B$3+SUMIFS($B$2:$B$495,$A$2:$A$495,"&lt;="&amp;$A278)-SUMIFS($J$2:$J$495,$A$2:$A$495,"&lt;="&amp;$A278)-SUMIFS('Weekly Purchases'!$N$2:$N$503,'Weekly Purchases'!$B$2:$B$503,"&lt;&gt;",'Weekly Purchases'!$B$2:$B$503,"&lt;="&amp;$A278)-SUMIFS('Weekly Purchases'!$N$2:$N$503,'Weekly Purchases'!$B$2:$B$503,"",'Weekly Purchases'!$A$2:$A$503,"&lt;="&amp;$A278))</f>
        <v/>
      </c>
      <c r="M278" s="8" t="str">
        <f>IF($A278="","",Settings!$B$4+SUMIFS($C$2:$C$495,$A$2:$A$495,"&lt;="&amp;$A278)-SUMIFS($K$2:$K$495,$A$2:$A$495,"&lt;="&amp;$A278)-SUMIFS('Weekly Purchases'!$O$2:$O$503,'Weekly Purchases'!$B$2:$B$503,"&lt;&gt;",'Weekly Purchases'!$B$2:$B$503,"&lt;="&amp;$A278)-SUMIFS('Weekly Purchases'!$O$2:$O$503,'Weekly Purchases'!$B$2:$B$503,"",'Weekly Purchases'!$A$2:$A$503,"&lt;="&amp;$A278))</f>
        <v/>
      </c>
      <c r="N278" s="8" t="str">
        <f t="shared" si="18"/>
        <v/>
      </c>
      <c r="O278" s="8" t="str">
        <f t="shared" si="19"/>
        <v/>
      </c>
      <c r="P278" s="4"/>
    </row>
    <row r="279" spans="1:16">
      <c r="A279" s="6"/>
      <c r="B279" s="7"/>
      <c r="C279" s="7"/>
      <c r="D279" s="8" t="str">
        <f t="shared" si="16"/>
        <v/>
      </c>
      <c r="E279" s="7"/>
      <c r="F279" s="7"/>
      <c r="G279" s="7"/>
      <c r="H279" s="7"/>
      <c r="I279" s="8" t="str">
        <f t="shared" si="17"/>
        <v/>
      </c>
      <c r="J279" s="8"/>
      <c r="K279" s="8"/>
      <c r="L279" s="8" t="str">
        <f>IF($A279="","",Settings!$B$3+SUMIFS($B$2:$B$495,$A$2:$A$495,"&lt;="&amp;$A279)-SUMIFS($J$2:$J$495,$A$2:$A$495,"&lt;="&amp;$A279)-SUMIFS('Weekly Purchases'!$N$2:$N$503,'Weekly Purchases'!$B$2:$B$503,"&lt;&gt;",'Weekly Purchases'!$B$2:$B$503,"&lt;="&amp;$A279)-SUMIFS('Weekly Purchases'!$N$2:$N$503,'Weekly Purchases'!$B$2:$B$503,"",'Weekly Purchases'!$A$2:$A$503,"&lt;="&amp;$A279))</f>
        <v/>
      </c>
      <c r="M279" s="8" t="str">
        <f>IF($A279="","",Settings!$B$4+SUMIFS($C$2:$C$495,$A$2:$A$495,"&lt;="&amp;$A279)-SUMIFS($K$2:$K$495,$A$2:$A$495,"&lt;="&amp;$A279)-SUMIFS('Weekly Purchases'!$O$2:$O$503,'Weekly Purchases'!$B$2:$B$503,"&lt;&gt;",'Weekly Purchases'!$B$2:$B$503,"&lt;="&amp;$A279)-SUMIFS('Weekly Purchases'!$O$2:$O$503,'Weekly Purchases'!$B$2:$B$503,"",'Weekly Purchases'!$A$2:$A$503,"&lt;="&amp;$A279))</f>
        <v/>
      </c>
      <c r="N279" s="8" t="str">
        <f t="shared" si="18"/>
        <v/>
      </c>
      <c r="O279" s="8" t="str">
        <f t="shared" si="19"/>
        <v/>
      </c>
      <c r="P279" s="4"/>
    </row>
    <row r="280" spans="1:16">
      <c r="A280" s="6"/>
      <c r="B280" s="7"/>
      <c r="C280" s="7"/>
      <c r="D280" s="8" t="str">
        <f t="shared" si="16"/>
        <v/>
      </c>
      <c r="E280" s="7"/>
      <c r="F280" s="7"/>
      <c r="G280" s="7"/>
      <c r="H280" s="7"/>
      <c r="I280" s="8" t="str">
        <f t="shared" si="17"/>
        <v/>
      </c>
      <c r="J280" s="8"/>
      <c r="K280" s="8"/>
      <c r="L280" s="8" t="str">
        <f>IF($A280="","",Settings!$B$3+SUMIFS($B$2:$B$495,$A$2:$A$495,"&lt;="&amp;$A280)-SUMIFS($J$2:$J$495,$A$2:$A$495,"&lt;="&amp;$A280)-SUMIFS('Weekly Purchases'!$N$2:$N$503,'Weekly Purchases'!$B$2:$B$503,"&lt;&gt;",'Weekly Purchases'!$B$2:$B$503,"&lt;="&amp;$A280)-SUMIFS('Weekly Purchases'!$N$2:$N$503,'Weekly Purchases'!$B$2:$B$503,"",'Weekly Purchases'!$A$2:$A$503,"&lt;="&amp;$A280))</f>
        <v/>
      </c>
      <c r="M280" s="8" t="str">
        <f>IF($A280="","",Settings!$B$4+SUMIFS($C$2:$C$495,$A$2:$A$495,"&lt;="&amp;$A280)-SUMIFS($K$2:$K$495,$A$2:$A$495,"&lt;="&amp;$A280)-SUMIFS('Weekly Purchases'!$O$2:$O$503,'Weekly Purchases'!$B$2:$B$503,"&lt;&gt;",'Weekly Purchases'!$B$2:$B$503,"&lt;="&amp;$A280)-SUMIFS('Weekly Purchases'!$O$2:$O$503,'Weekly Purchases'!$B$2:$B$503,"",'Weekly Purchases'!$A$2:$A$503,"&lt;="&amp;$A280))</f>
        <v/>
      </c>
      <c r="N280" s="8" t="str">
        <f t="shared" si="18"/>
        <v/>
      </c>
      <c r="O280" s="8" t="str">
        <f t="shared" si="19"/>
        <v/>
      </c>
      <c r="P280" s="4"/>
    </row>
    <row r="281" spans="1:16">
      <c r="A281" s="6"/>
      <c r="B281" s="7"/>
      <c r="C281" s="7"/>
      <c r="D281" s="8" t="str">
        <f t="shared" si="16"/>
        <v/>
      </c>
      <c r="E281" s="7"/>
      <c r="F281" s="7"/>
      <c r="G281" s="7"/>
      <c r="H281" s="7"/>
      <c r="I281" s="8" t="str">
        <f t="shared" si="17"/>
        <v/>
      </c>
      <c r="J281" s="8"/>
      <c r="K281" s="8"/>
      <c r="L281" s="8" t="str">
        <f>IF($A281="","",Settings!$B$3+SUMIFS($B$2:$B$495,$A$2:$A$495,"&lt;="&amp;$A281)-SUMIFS($J$2:$J$495,$A$2:$A$495,"&lt;="&amp;$A281)-SUMIFS('Weekly Purchases'!$N$2:$N$503,'Weekly Purchases'!$B$2:$B$503,"&lt;&gt;",'Weekly Purchases'!$B$2:$B$503,"&lt;="&amp;$A281)-SUMIFS('Weekly Purchases'!$N$2:$N$503,'Weekly Purchases'!$B$2:$B$503,"",'Weekly Purchases'!$A$2:$A$503,"&lt;="&amp;$A281))</f>
        <v/>
      </c>
      <c r="M281" s="8" t="str">
        <f>IF($A281="","",Settings!$B$4+SUMIFS($C$2:$C$495,$A$2:$A$495,"&lt;="&amp;$A281)-SUMIFS($K$2:$K$495,$A$2:$A$495,"&lt;="&amp;$A281)-SUMIFS('Weekly Purchases'!$O$2:$O$503,'Weekly Purchases'!$B$2:$B$503,"&lt;&gt;",'Weekly Purchases'!$B$2:$B$503,"&lt;="&amp;$A281)-SUMIFS('Weekly Purchases'!$O$2:$O$503,'Weekly Purchases'!$B$2:$B$503,"",'Weekly Purchases'!$A$2:$A$503,"&lt;="&amp;$A281))</f>
        <v/>
      </c>
      <c r="N281" s="8" t="str">
        <f t="shared" si="18"/>
        <v/>
      </c>
      <c r="O281" s="8" t="str">
        <f t="shared" si="19"/>
        <v/>
      </c>
      <c r="P281" s="4"/>
    </row>
    <row r="282" spans="1:16">
      <c r="A282" s="6"/>
      <c r="B282" s="7"/>
      <c r="C282" s="7"/>
      <c r="D282" s="8" t="str">
        <f t="shared" si="16"/>
        <v/>
      </c>
      <c r="E282" s="7"/>
      <c r="F282" s="7"/>
      <c r="G282" s="7"/>
      <c r="H282" s="7"/>
      <c r="I282" s="8" t="str">
        <f t="shared" si="17"/>
        <v/>
      </c>
      <c r="J282" s="8"/>
      <c r="K282" s="8"/>
      <c r="L282" s="8" t="str">
        <f>IF($A282="","",Settings!$B$3+SUMIFS($B$2:$B$495,$A$2:$A$495,"&lt;="&amp;$A282)-SUMIFS($J$2:$J$495,$A$2:$A$495,"&lt;="&amp;$A282)-SUMIFS('Weekly Purchases'!$N$2:$N$503,'Weekly Purchases'!$B$2:$B$503,"&lt;&gt;",'Weekly Purchases'!$B$2:$B$503,"&lt;="&amp;$A282)-SUMIFS('Weekly Purchases'!$N$2:$N$503,'Weekly Purchases'!$B$2:$B$503,"",'Weekly Purchases'!$A$2:$A$503,"&lt;="&amp;$A282))</f>
        <v/>
      </c>
      <c r="M282" s="8" t="str">
        <f>IF($A282="","",Settings!$B$4+SUMIFS($C$2:$C$495,$A$2:$A$495,"&lt;="&amp;$A282)-SUMIFS($K$2:$K$495,$A$2:$A$495,"&lt;="&amp;$A282)-SUMIFS('Weekly Purchases'!$O$2:$O$503,'Weekly Purchases'!$B$2:$B$503,"&lt;&gt;",'Weekly Purchases'!$B$2:$B$503,"&lt;="&amp;$A282)-SUMIFS('Weekly Purchases'!$O$2:$O$503,'Weekly Purchases'!$B$2:$B$503,"",'Weekly Purchases'!$A$2:$A$503,"&lt;="&amp;$A282))</f>
        <v/>
      </c>
      <c r="N282" s="8" t="str">
        <f t="shared" si="18"/>
        <v/>
      </c>
      <c r="O282" s="8" t="str">
        <f t="shared" si="19"/>
        <v/>
      </c>
      <c r="P282" s="4"/>
    </row>
    <row r="283" spans="1:16">
      <c r="A283" s="6"/>
      <c r="B283" s="7"/>
      <c r="C283" s="7"/>
      <c r="D283" s="8" t="str">
        <f t="shared" si="16"/>
        <v/>
      </c>
      <c r="E283" s="7"/>
      <c r="F283" s="7"/>
      <c r="G283" s="7"/>
      <c r="H283" s="7"/>
      <c r="I283" s="8" t="str">
        <f t="shared" si="17"/>
        <v/>
      </c>
      <c r="J283" s="8"/>
      <c r="K283" s="8"/>
      <c r="L283" s="8" t="str">
        <f>IF($A283="","",Settings!$B$3+SUMIFS($B$2:$B$495,$A$2:$A$495,"&lt;="&amp;$A283)-SUMIFS($J$2:$J$495,$A$2:$A$495,"&lt;="&amp;$A283)-SUMIFS('Weekly Purchases'!$N$2:$N$503,'Weekly Purchases'!$B$2:$B$503,"&lt;&gt;",'Weekly Purchases'!$B$2:$B$503,"&lt;="&amp;$A283)-SUMIFS('Weekly Purchases'!$N$2:$N$503,'Weekly Purchases'!$B$2:$B$503,"",'Weekly Purchases'!$A$2:$A$503,"&lt;="&amp;$A283))</f>
        <v/>
      </c>
      <c r="M283" s="8" t="str">
        <f>IF($A283="","",Settings!$B$4+SUMIFS($C$2:$C$495,$A$2:$A$495,"&lt;="&amp;$A283)-SUMIFS($K$2:$K$495,$A$2:$A$495,"&lt;="&amp;$A283)-SUMIFS('Weekly Purchases'!$O$2:$O$503,'Weekly Purchases'!$B$2:$B$503,"&lt;&gt;",'Weekly Purchases'!$B$2:$B$503,"&lt;="&amp;$A283)-SUMIFS('Weekly Purchases'!$O$2:$O$503,'Weekly Purchases'!$B$2:$B$503,"",'Weekly Purchases'!$A$2:$A$503,"&lt;="&amp;$A283))</f>
        <v/>
      </c>
      <c r="N283" s="8" t="str">
        <f t="shared" si="18"/>
        <v/>
      </c>
      <c r="O283" s="8" t="str">
        <f t="shared" si="19"/>
        <v/>
      </c>
      <c r="P283" s="4"/>
    </row>
    <row r="284" spans="1:16">
      <c r="A284" s="6"/>
      <c r="B284" s="7"/>
      <c r="C284" s="7"/>
      <c r="D284" s="8" t="str">
        <f t="shared" si="16"/>
        <v/>
      </c>
      <c r="E284" s="7"/>
      <c r="F284" s="7"/>
      <c r="G284" s="7"/>
      <c r="H284" s="7"/>
      <c r="I284" s="8" t="str">
        <f t="shared" si="17"/>
        <v/>
      </c>
      <c r="J284" s="8"/>
      <c r="K284" s="8"/>
      <c r="L284" s="8" t="str">
        <f>IF($A284="","",Settings!$B$3+SUMIFS($B$2:$B$495,$A$2:$A$495,"&lt;="&amp;$A284)-SUMIFS($J$2:$J$495,$A$2:$A$495,"&lt;="&amp;$A284)-SUMIFS('Weekly Purchases'!$N$2:$N$503,'Weekly Purchases'!$B$2:$B$503,"&lt;&gt;",'Weekly Purchases'!$B$2:$B$503,"&lt;="&amp;$A284)-SUMIFS('Weekly Purchases'!$N$2:$N$503,'Weekly Purchases'!$B$2:$B$503,"",'Weekly Purchases'!$A$2:$A$503,"&lt;="&amp;$A284))</f>
        <v/>
      </c>
      <c r="M284" s="8" t="str">
        <f>IF($A284="","",Settings!$B$4+SUMIFS($C$2:$C$495,$A$2:$A$495,"&lt;="&amp;$A284)-SUMIFS($K$2:$K$495,$A$2:$A$495,"&lt;="&amp;$A284)-SUMIFS('Weekly Purchases'!$O$2:$O$503,'Weekly Purchases'!$B$2:$B$503,"&lt;&gt;",'Weekly Purchases'!$B$2:$B$503,"&lt;="&amp;$A284)-SUMIFS('Weekly Purchases'!$O$2:$O$503,'Weekly Purchases'!$B$2:$B$503,"",'Weekly Purchases'!$A$2:$A$503,"&lt;="&amp;$A284))</f>
        <v/>
      </c>
      <c r="N284" s="8" t="str">
        <f t="shared" si="18"/>
        <v/>
      </c>
      <c r="O284" s="8" t="str">
        <f t="shared" si="19"/>
        <v/>
      </c>
      <c r="P284" s="4"/>
    </row>
    <row r="285" spans="1:16">
      <c r="A285" s="6"/>
      <c r="B285" s="7"/>
      <c r="C285" s="7"/>
      <c r="D285" s="8" t="str">
        <f t="shared" si="16"/>
        <v/>
      </c>
      <c r="E285" s="7"/>
      <c r="F285" s="7"/>
      <c r="G285" s="7"/>
      <c r="H285" s="7"/>
      <c r="I285" s="8" t="str">
        <f t="shared" si="17"/>
        <v/>
      </c>
      <c r="J285" s="8"/>
      <c r="K285" s="8"/>
      <c r="L285" s="8" t="str">
        <f>IF($A285="","",Settings!$B$3+SUMIFS($B$2:$B$495,$A$2:$A$495,"&lt;="&amp;$A285)-SUMIFS($J$2:$J$495,$A$2:$A$495,"&lt;="&amp;$A285)-SUMIFS('Weekly Purchases'!$N$2:$N$503,'Weekly Purchases'!$B$2:$B$503,"&lt;&gt;",'Weekly Purchases'!$B$2:$B$503,"&lt;="&amp;$A285)-SUMIFS('Weekly Purchases'!$N$2:$N$503,'Weekly Purchases'!$B$2:$B$503,"",'Weekly Purchases'!$A$2:$A$503,"&lt;="&amp;$A285))</f>
        <v/>
      </c>
      <c r="M285" s="8" t="str">
        <f>IF($A285="","",Settings!$B$4+SUMIFS($C$2:$C$495,$A$2:$A$495,"&lt;="&amp;$A285)-SUMIFS($K$2:$K$495,$A$2:$A$495,"&lt;="&amp;$A285)-SUMIFS('Weekly Purchases'!$O$2:$O$503,'Weekly Purchases'!$B$2:$B$503,"&lt;&gt;",'Weekly Purchases'!$B$2:$B$503,"&lt;="&amp;$A285)-SUMIFS('Weekly Purchases'!$O$2:$O$503,'Weekly Purchases'!$B$2:$B$503,"",'Weekly Purchases'!$A$2:$A$503,"&lt;="&amp;$A285))</f>
        <v/>
      </c>
      <c r="N285" s="8" t="str">
        <f t="shared" si="18"/>
        <v/>
      </c>
      <c r="O285" s="8" t="str">
        <f t="shared" si="19"/>
        <v/>
      </c>
      <c r="P285" s="4"/>
    </row>
    <row r="286" spans="1:16">
      <c r="A286" s="6"/>
      <c r="B286" s="7"/>
      <c r="C286" s="7"/>
      <c r="D286" s="8" t="str">
        <f t="shared" si="16"/>
        <v/>
      </c>
      <c r="E286" s="7"/>
      <c r="F286" s="7"/>
      <c r="G286" s="7"/>
      <c r="H286" s="7"/>
      <c r="I286" s="8" t="str">
        <f t="shared" si="17"/>
        <v/>
      </c>
      <c r="J286" s="8"/>
      <c r="K286" s="8"/>
      <c r="L286" s="8" t="str">
        <f>IF($A286="","",Settings!$B$3+SUMIFS($B$2:$B$495,$A$2:$A$495,"&lt;="&amp;$A286)-SUMIFS($J$2:$J$495,$A$2:$A$495,"&lt;="&amp;$A286)-SUMIFS('Weekly Purchases'!$N$2:$N$503,'Weekly Purchases'!$B$2:$B$503,"&lt;&gt;",'Weekly Purchases'!$B$2:$B$503,"&lt;="&amp;$A286)-SUMIFS('Weekly Purchases'!$N$2:$N$503,'Weekly Purchases'!$B$2:$B$503,"",'Weekly Purchases'!$A$2:$A$503,"&lt;="&amp;$A286))</f>
        <v/>
      </c>
      <c r="M286" s="8" t="str">
        <f>IF($A286="","",Settings!$B$4+SUMIFS($C$2:$C$495,$A$2:$A$495,"&lt;="&amp;$A286)-SUMIFS($K$2:$K$495,$A$2:$A$495,"&lt;="&amp;$A286)-SUMIFS('Weekly Purchases'!$O$2:$O$503,'Weekly Purchases'!$B$2:$B$503,"&lt;&gt;",'Weekly Purchases'!$B$2:$B$503,"&lt;="&amp;$A286)-SUMIFS('Weekly Purchases'!$O$2:$O$503,'Weekly Purchases'!$B$2:$B$503,"",'Weekly Purchases'!$A$2:$A$503,"&lt;="&amp;$A286))</f>
        <v/>
      </c>
      <c r="N286" s="8" t="str">
        <f t="shared" si="18"/>
        <v/>
      </c>
      <c r="O286" s="8" t="str">
        <f t="shared" si="19"/>
        <v/>
      </c>
      <c r="P286" s="4"/>
    </row>
    <row r="287" spans="1:16">
      <c r="A287" s="6"/>
      <c r="B287" s="7"/>
      <c r="C287" s="7"/>
      <c r="D287" s="8" t="str">
        <f t="shared" si="16"/>
        <v/>
      </c>
      <c r="E287" s="7"/>
      <c r="F287" s="7"/>
      <c r="G287" s="7"/>
      <c r="H287" s="7"/>
      <c r="I287" s="8" t="str">
        <f t="shared" si="17"/>
        <v/>
      </c>
      <c r="J287" s="8"/>
      <c r="K287" s="8"/>
      <c r="L287" s="8" t="str">
        <f>IF($A287="","",Settings!$B$3+SUMIFS($B$2:$B$495,$A$2:$A$495,"&lt;="&amp;$A287)-SUMIFS($J$2:$J$495,$A$2:$A$495,"&lt;="&amp;$A287)-SUMIFS('Weekly Purchases'!$N$2:$N$503,'Weekly Purchases'!$B$2:$B$503,"&lt;&gt;",'Weekly Purchases'!$B$2:$B$503,"&lt;="&amp;$A287)-SUMIFS('Weekly Purchases'!$N$2:$N$503,'Weekly Purchases'!$B$2:$B$503,"",'Weekly Purchases'!$A$2:$A$503,"&lt;="&amp;$A287))</f>
        <v/>
      </c>
      <c r="M287" s="8" t="str">
        <f>IF($A287="","",Settings!$B$4+SUMIFS($C$2:$C$495,$A$2:$A$495,"&lt;="&amp;$A287)-SUMIFS($K$2:$K$495,$A$2:$A$495,"&lt;="&amp;$A287)-SUMIFS('Weekly Purchases'!$O$2:$O$503,'Weekly Purchases'!$B$2:$B$503,"&lt;&gt;",'Weekly Purchases'!$B$2:$B$503,"&lt;="&amp;$A287)-SUMIFS('Weekly Purchases'!$O$2:$O$503,'Weekly Purchases'!$B$2:$B$503,"",'Weekly Purchases'!$A$2:$A$503,"&lt;="&amp;$A287))</f>
        <v/>
      </c>
      <c r="N287" s="8" t="str">
        <f t="shared" si="18"/>
        <v/>
      </c>
      <c r="O287" s="8" t="str">
        <f t="shared" si="19"/>
        <v/>
      </c>
      <c r="P287" s="4"/>
    </row>
    <row r="288" spans="1:16">
      <c r="A288" s="6"/>
      <c r="B288" s="7"/>
      <c r="C288" s="7"/>
      <c r="D288" s="8" t="str">
        <f t="shared" si="16"/>
        <v/>
      </c>
      <c r="E288" s="7"/>
      <c r="F288" s="7"/>
      <c r="G288" s="7"/>
      <c r="H288" s="7"/>
      <c r="I288" s="8" t="str">
        <f t="shared" si="17"/>
        <v/>
      </c>
      <c r="J288" s="8"/>
      <c r="K288" s="8"/>
      <c r="L288" s="8" t="str">
        <f>IF($A288="","",Settings!$B$3+SUMIFS($B$2:$B$495,$A$2:$A$495,"&lt;="&amp;$A288)-SUMIFS($J$2:$J$495,$A$2:$A$495,"&lt;="&amp;$A288)-SUMIFS('Weekly Purchases'!$N$2:$N$503,'Weekly Purchases'!$B$2:$B$503,"&lt;&gt;",'Weekly Purchases'!$B$2:$B$503,"&lt;="&amp;$A288)-SUMIFS('Weekly Purchases'!$N$2:$N$503,'Weekly Purchases'!$B$2:$B$503,"",'Weekly Purchases'!$A$2:$A$503,"&lt;="&amp;$A288))</f>
        <v/>
      </c>
      <c r="M288" s="8" t="str">
        <f>IF($A288="","",Settings!$B$4+SUMIFS($C$2:$C$495,$A$2:$A$495,"&lt;="&amp;$A288)-SUMIFS($K$2:$K$495,$A$2:$A$495,"&lt;="&amp;$A288)-SUMIFS('Weekly Purchases'!$O$2:$O$503,'Weekly Purchases'!$B$2:$B$503,"&lt;&gt;",'Weekly Purchases'!$B$2:$B$503,"&lt;="&amp;$A288)-SUMIFS('Weekly Purchases'!$O$2:$O$503,'Weekly Purchases'!$B$2:$B$503,"",'Weekly Purchases'!$A$2:$A$503,"&lt;="&amp;$A288))</f>
        <v/>
      </c>
      <c r="N288" s="8" t="str">
        <f t="shared" si="18"/>
        <v/>
      </c>
      <c r="O288" s="8" t="str">
        <f t="shared" si="19"/>
        <v/>
      </c>
      <c r="P288" s="4"/>
    </row>
    <row r="289" spans="1:16">
      <c r="A289" s="6"/>
      <c r="B289" s="7"/>
      <c r="C289" s="7"/>
      <c r="D289" s="8" t="str">
        <f t="shared" si="16"/>
        <v/>
      </c>
      <c r="E289" s="7"/>
      <c r="F289" s="7"/>
      <c r="G289" s="7"/>
      <c r="H289" s="7"/>
      <c r="I289" s="8" t="str">
        <f t="shared" si="17"/>
        <v/>
      </c>
      <c r="J289" s="8"/>
      <c r="K289" s="8"/>
      <c r="L289" s="8" t="str">
        <f>IF($A289="","",Settings!$B$3+SUMIFS($B$2:$B$495,$A$2:$A$495,"&lt;="&amp;$A289)-SUMIFS($J$2:$J$495,$A$2:$A$495,"&lt;="&amp;$A289)-SUMIFS('Weekly Purchases'!$N$2:$N$503,'Weekly Purchases'!$B$2:$B$503,"&lt;&gt;",'Weekly Purchases'!$B$2:$B$503,"&lt;="&amp;$A289)-SUMIFS('Weekly Purchases'!$N$2:$N$503,'Weekly Purchases'!$B$2:$B$503,"",'Weekly Purchases'!$A$2:$A$503,"&lt;="&amp;$A289))</f>
        <v/>
      </c>
      <c r="M289" s="8" t="str">
        <f>IF($A289="","",Settings!$B$4+SUMIFS($C$2:$C$495,$A$2:$A$495,"&lt;="&amp;$A289)-SUMIFS($K$2:$K$495,$A$2:$A$495,"&lt;="&amp;$A289)-SUMIFS('Weekly Purchases'!$O$2:$O$503,'Weekly Purchases'!$B$2:$B$503,"&lt;&gt;",'Weekly Purchases'!$B$2:$B$503,"&lt;="&amp;$A289)-SUMIFS('Weekly Purchases'!$O$2:$O$503,'Weekly Purchases'!$B$2:$B$503,"",'Weekly Purchases'!$A$2:$A$503,"&lt;="&amp;$A289))</f>
        <v/>
      </c>
      <c r="N289" s="8" t="str">
        <f t="shared" si="18"/>
        <v/>
      </c>
      <c r="O289" s="8" t="str">
        <f t="shared" si="19"/>
        <v/>
      </c>
      <c r="P289" s="4"/>
    </row>
    <row r="290" spans="1:16">
      <c r="A290" s="6"/>
      <c r="B290" s="7"/>
      <c r="C290" s="7"/>
      <c r="D290" s="8" t="str">
        <f t="shared" si="16"/>
        <v/>
      </c>
      <c r="E290" s="7"/>
      <c r="F290" s="7"/>
      <c r="G290" s="7"/>
      <c r="H290" s="7"/>
      <c r="I290" s="8" t="str">
        <f t="shared" si="17"/>
        <v/>
      </c>
      <c r="J290" s="8"/>
      <c r="K290" s="8"/>
      <c r="L290" s="8" t="str">
        <f>IF($A290="","",Settings!$B$3+SUMIFS($B$2:$B$495,$A$2:$A$495,"&lt;="&amp;$A290)-SUMIFS($J$2:$J$495,$A$2:$A$495,"&lt;="&amp;$A290)-SUMIFS('Weekly Purchases'!$N$2:$N$503,'Weekly Purchases'!$B$2:$B$503,"&lt;&gt;",'Weekly Purchases'!$B$2:$B$503,"&lt;="&amp;$A290)-SUMIFS('Weekly Purchases'!$N$2:$N$503,'Weekly Purchases'!$B$2:$B$503,"",'Weekly Purchases'!$A$2:$A$503,"&lt;="&amp;$A290))</f>
        <v/>
      </c>
      <c r="M290" s="8" t="str">
        <f>IF($A290="","",Settings!$B$4+SUMIFS($C$2:$C$495,$A$2:$A$495,"&lt;="&amp;$A290)-SUMIFS($K$2:$K$495,$A$2:$A$495,"&lt;="&amp;$A290)-SUMIFS('Weekly Purchases'!$O$2:$O$503,'Weekly Purchases'!$B$2:$B$503,"&lt;&gt;",'Weekly Purchases'!$B$2:$B$503,"&lt;="&amp;$A290)-SUMIFS('Weekly Purchases'!$O$2:$O$503,'Weekly Purchases'!$B$2:$B$503,"",'Weekly Purchases'!$A$2:$A$503,"&lt;="&amp;$A290))</f>
        <v/>
      </c>
      <c r="N290" s="8" t="str">
        <f t="shared" si="18"/>
        <v/>
      </c>
      <c r="O290" s="8" t="str">
        <f t="shared" si="19"/>
        <v/>
      </c>
      <c r="P290" s="4"/>
    </row>
    <row r="291" spans="1:16">
      <c r="A291" s="6"/>
      <c r="B291" s="7"/>
      <c r="C291" s="7"/>
      <c r="D291" s="8" t="str">
        <f t="shared" si="16"/>
        <v/>
      </c>
      <c r="E291" s="7"/>
      <c r="F291" s="7"/>
      <c r="G291" s="7"/>
      <c r="H291" s="7"/>
      <c r="I291" s="8" t="str">
        <f t="shared" si="17"/>
        <v/>
      </c>
      <c r="J291" s="8"/>
      <c r="K291" s="8"/>
      <c r="L291" s="8" t="str">
        <f>IF($A291="","",Settings!$B$3+SUMIFS($B$2:$B$495,$A$2:$A$495,"&lt;="&amp;$A291)-SUMIFS($J$2:$J$495,$A$2:$A$495,"&lt;="&amp;$A291)-SUMIFS('Weekly Purchases'!$N$2:$N$503,'Weekly Purchases'!$B$2:$B$503,"&lt;&gt;",'Weekly Purchases'!$B$2:$B$503,"&lt;="&amp;$A291)-SUMIFS('Weekly Purchases'!$N$2:$N$503,'Weekly Purchases'!$B$2:$B$503,"",'Weekly Purchases'!$A$2:$A$503,"&lt;="&amp;$A291))</f>
        <v/>
      </c>
      <c r="M291" s="8" t="str">
        <f>IF($A291="","",Settings!$B$4+SUMIFS($C$2:$C$495,$A$2:$A$495,"&lt;="&amp;$A291)-SUMIFS($K$2:$K$495,$A$2:$A$495,"&lt;="&amp;$A291)-SUMIFS('Weekly Purchases'!$O$2:$O$503,'Weekly Purchases'!$B$2:$B$503,"&lt;&gt;",'Weekly Purchases'!$B$2:$B$503,"&lt;="&amp;$A291)-SUMIFS('Weekly Purchases'!$O$2:$O$503,'Weekly Purchases'!$B$2:$B$503,"",'Weekly Purchases'!$A$2:$A$503,"&lt;="&amp;$A291))</f>
        <v/>
      </c>
      <c r="N291" s="8" t="str">
        <f t="shared" si="18"/>
        <v/>
      </c>
      <c r="O291" s="8" t="str">
        <f t="shared" si="19"/>
        <v/>
      </c>
      <c r="P291" s="4"/>
    </row>
    <row r="292" spans="1:16">
      <c r="A292" s="6"/>
      <c r="B292" s="7"/>
      <c r="C292" s="7"/>
      <c r="D292" s="8" t="str">
        <f t="shared" si="16"/>
        <v/>
      </c>
      <c r="E292" s="7"/>
      <c r="F292" s="7"/>
      <c r="G292" s="7"/>
      <c r="H292" s="7"/>
      <c r="I292" s="8" t="str">
        <f t="shared" si="17"/>
        <v/>
      </c>
      <c r="J292" s="8"/>
      <c r="K292" s="8"/>
      <c r="L292" s="8" t="str">
        <f>IF($A292="","",Settings!$B$3+SUMIFS($B$2:$B$495,$A$2:$A$495,"&lt;="&amp;$A292)-SUMIFS($J$2:$J$495,$A$2:$A$495,"&lt;="&amp;$A292)-SUMIFS('Weekly Purchases'!$N$2:$N$503,'Weekly Purchases'!$B$2:$B$503,"&lt;&gt;",'Weekly Purchases'!$B$2:$B$503,"&lt;="&amp;$A292)-SUMIFS('Weekly Purchases'!$N$2:$N$503,'Weekly Purchases'!$B$2:$B$503,"",'Weekly Purchases'!$A$2:$A$503,"&lt;="&amp;$A292))</f>
        <v/>
      </c>
      <c r="M292" s="8" t="str">
        <f>IF($A292="","",Settings!$B$4+SUMIFS($C$2:$C$495,$A$2:$A$495,"&lt;="&amp;$A292)-SUMIFS($K$2:$K$495,$A$2:$A$495,"&lt;="&amp;$A292)-SUMIFS('Weekly Purchases'!$O$2:$O$503,'Weekly Purchases'!$B$2:$B$503,"&lt;&gt;",'Weekly Purchases'!$B$2:$B$503,"&lt;="&amp;$A292)-SUMIFS('Weekly Purchases'!$O$2:$O$503,'Weekly Purchases'!$B$2:$B$503,"",'Weekly Purchases'!$A$2:$A$503,"&lt;="&amp;$A292))</f>
        <v/>
      </c>
      <c r="N292" s="8" t="str">
        <f t="shared" si="18"/>
        <v/>
      </c>
      <c r="O292" s="8" t="str">
        <f t="shared" si="19"/>
        <v/>
      </c>
      <c r="P292" s="4"/>
    </row>
    <row r="293" spans="1:16">
      <c r="A293" s="6"/>
      <c r="B293" s="7"/>
      <c r="C293" s="7"/>
      <c r="D293" s="8" t="str">
        <f t="shared" si="16"/>
        <v/>
      </c>
      <c r="E293" s="7"/>
      <c r="F293" s="7"/>
      <c r="G293" s="7"/>
      <c r="H293" s="7"/>
      <c r="I293" s="8" t="str">
        <f t="shared" si="17"/>
        <v/>
      </c>
      <c r="J293" s="8"/>
      <c r="K293" s="8"/>
      <c r="L293" s="8" t="str">
        <f>IF($A293="","",Settings!$B$3+SUMIFS($B$2:$B$495,$A$2:$A$495,"&lt;="&amp;$A293)-SUMIFS($J$2:$J$495,$A$2:$A$495,"&lt;="&amp;$A293)-SUMIFS('Weekly Purchases'!$N$2:$N$503,'Weekly Purchases'!$B$2:$B$503,"&lt;&gt;",'Weekly Purchases'!$B$2:$B$503,"&lt;="&amp;$A293)-SUMIFS('Weekly Purchases'!$N$2:$N$503,'Weekly Purchases'!$B$2:$B$503,"",'Weekly Purchases'!$A$2:$A$503,"&lt;="&amp;$A293))</f>
        <v/>
      </c>
      <c r="M293" s="8" t="str">
        <f>IF($A293="","",Settings!$B$4+SUMIFS($C$2:$C$495,$A$2:$A$495,"&lt;="&amp;$A293)-SUMIFS($K$2:$K$495,$A$2:$A$495,"&lt;="&amp;$A293)-SUMIFS('Weekly Purchases'!$O$2:$O$503,'Weekly Purchases'!$B$2:$B$503,"&lt;&gt;",'Weekly Purchases'!$B$2:$B$503,"&lt;="&amp;$A293)-SUMIFS('Weekly Purchases'!$O$2:$O$503,'Weekly Purchases'!$B$2:$B$503,"",'Weekly Purchases'!$A$2:$A$503,"&lt;="&amp;$A293))</f>
        <v/>
      </c>
      <c r="N293" s="8" t="str">
        <f t="shared" si="18"/>
        <v/>
      </c>
      <c r="O293" s="8" t="str">
        <f t="shared" si="19"/>
        <v/>
      </c>
      <c r="P293" s="4"/>
    </row>
    <row r="294" spans="1:16">
      <c r="A294" s="6"/>
      <c r="B294" s="7"/>
      <c r="C294" s="7"/>
      <c r="D294" s="8" t="str">
        <f t="shared" si="16"/>
        <v/>
      </c>
      <c r="E294" s="7"/>
      <c r="F294" s="7"/>
      <c r="G294" s="7"/>
      <c r="H294" s="7"/>
      <c r="I294" s="8" t="str">
        <f t="shared" si="17"/>
        <v/>
      </c>
      <c r="J294" s="8"/>
      <c r="K294" s="8"/>
      <c r="L294" s="8" t="str">
        <f>IF($A294="","",Settings!$B$3+SUMIFS($B$2:$B$495,$A$2:$A$495,"&lt;="&amp;$A294)-SUMIFS($J$2:$J$495,$A$2:$A$495,"&lt;="&amp;$A294)-SUMIFS('Weekly Purchases'!$N$2:$N$503,'Weekly Purchases'!$B$2:$B$503,"&lt;&gt;",'Weekly Purchases'!$B$2:$B$503,"&lt;="&amp;$A294)-SUMIFS('Weekly Purchases'!$N$2:$N$503,'Weekly Purchases'!$B$2:$B$503,"",'Weekly Purchases'!$A$2:$A$503,"&lt;="&amp;$A294))</f>
        <v/>
      </c>
      <c r="M294" s="8" t="str">
        <f>IF($A294="","",Settings!$B$4+SUMIFS($C$2:$C$495,$A$2:$A$495,"&lt;="&amp;$A294)-SUMIFS($K$2:$K$495,$A$2:$A$495,"&lt;="&amp;$A294)-SUMIFS('Weekly Purchases'!$O$2:$O$503,'Weekly Purchases'!$B$2:$B$503,"&lt;&gt;",'Weekly Purchases'!$B$2:$B$503,"&lt;="&amp;$A294)-SUMIFS('Weekly Purchases'!$O$2:$O$503,'Weekly Purchases'!$B$2:$B$503,"",'Weekly Purchases'!$A$2:$A$503,"&lt;="&amp;$A294))</f>
        <v/>
      </c>
      <c r="N294" s="8" t="str">
        <f t="shared" si="18"/>
        <v/>
      </c>
      <c r="O294" s="8" t="str">
        <f t="shared" si="19"/>
        <v/>
      </c>
      <c r="P294" s="4"/>
    </row>
    <row r="295" spans="1:16">
      <c r="A295" s="6"/>
      <c r="B295" s="7"/>
      <c r="C295" s="7"/>
      <c r="D295" s="8" t="str">
        <f t="shared" si="16"/>
        <v/>
      </c>
      <c r="E295" s="7"/>
      <c r="F295" s="7"/>
      <c r="G295" s="7"/>
      <c r="H295" s="7"/>
      <c r="I295" s="8" t="str">
        <f t="shared" si="17"/>
        <v/>
      </c>
      <c r="J295" s="8"/>
      <c r="K295" s="8"/>
      <c r="L295" s="8" t="str">
        <f>IF($A295="","",Settings!$B$3+SUMIFS($B$2:$B$495,$A$2:$A$495,"&lt;="&amp;$A295)-SUMIFS($J$2:$J$495,$A$2:$A$495,"&lt;="&amp;$A295)-SUMIFS('Weekly Purchases'!$N$2:$N$503,'Weekly Purchases'!$B$2:$B$503,"&lt;&gt;",'Weekly Purchases'!$B$2:$B$503,"&lt;="&amp;$A295)-SUMIFS('Weekly Purchases'!$N$2:$N$503,'Weekly Purchases'!$B$2:$B$503,"",'Weekly Purchases'!$A$2:$A$503,"&lt;="&amp;$A295))</f>
        <v/>
      </c>
      <c r="M295" s="8" t="str">
        <f>IF($A295="","",Settings!$B$4+SUMIFS($C$2:$C$495,$A$2:$A$495,"&lt;="&amp;$A295)-SUMIFS($K$2:$K$495,$A$2:$A$495,"&lt;="&amp;$A295)-SUMIFS('Weekly Purchases'!$O$2:$O$503,'Weekly Purchases'!$B$2:$B$503,"&lt;&gt;",'Weekly Purchases'!$B$2:$B$503,"&lt;="&amp;$A295)-SUMIFS('Weekly Purchases'!$O$2:$O$503,'Weekly Purchases'!$B$2:$B$503,"",'Weekly Purchases'!$A$2:$A$503,"&lt;="&amp;$A295))</f>
        <v/>
      </c>
      <c r="N295" s="8" t="str">
        <f t="shared" si="18"/>
        <v/>
      </c>
      <c r="O295" s="8" t="str">
        <f t="shared" si="19"/>
        <v/>
      </c>
      <c r="P295" s="4"/>
    </row>
    <row r="296" spans="1:16">
      <c r="A296" s="6"/>
      <c r="B296" s="7"/>
      <c r="C296" s="7"/>
      <c r="D296" s="8" t="str">
        <f t="shared" si="16"/>
        <v/>
      </c>
      <c r="E296" s="7"/>
      <c r="F296" s="7"/>
      <c r="G296" s="7"/>
      <c r="H296" s="7"/>
      <c r="I296" s="8" t="str">
        <f t="shared" si="17"/>
        <v/>
      </c>
      <c r="J296" s="8"/>
      <c r="K296" s="8"/>
      <c r="L296" s="8" t="str">
        <f>IF($A296="","",Settings!$B$3+SUMIFS($B$2:$B$495,$A$2:$A$495,"&lt;="&amp;$A296)-SUMIFS($J$2:$J$495,$A$2:$A$495,"&lt;="&amp;$A296)-SUMIFS('Weekly Purchases'!$N$2:$N$503,'Weekly Purchases'!$B$2:$B$503,"&lt;&gt;",'Weekly Purchases'!$B$2:$B$503,"&lt;="&amp;$A296)-SUMIFS('Weekly Purchases'!$N$2:$N$503,'Weekly Purchases'!$B$2:$B$503,"",'Weekly Purchases'!$A$2:$A$503,"&lt;="&amp;$A296))</f>
        <v/>
      </c>
      <c r="M296" s="8" t="str">
        <f>IF($A296="","",Settings!$B$4+SUMIFS($C$2:$C$495,$A$2:$A$495,"&lt;="&amp;$A296)-SUMIFS($K$2:$K$495,$A$2:$A$495,"&lt;="&amp;$A296)-SUMIFS('Weekly Purchases'!$O$2:$O$503,'Weekly Purchases'!$B$2:$B$503,"&lt;&gt;",'Weekly Purchases'!$B$2:$B$503,"&lt;="&amp;$A296)-SUMIFS('Weekly Purchases'!$O$2:$O$503,'Weekly Purchases'!$B$2:$B$503,"",'Weekly Purchases'!$A$2:$A$503,"&lt;="&amp;$A296))</f>
        <v/>
      </c>
      <c r="N296" s="8" t="str">
        <f t="shared" si="18"/>
        <v/>
      </c>
      <c r="O296" s="8" t="str">
        <f t="shared" si="19"/>
        <v/>
      </c>
      <c r="P296" s="4"/>
    </row>
    <row r="297" spans="1:16">
      <c r="A297" s="6"/>
      <c r="B297" s="7"/>
      <c r="C297" s="7"/>
      <c r="D297" s="8" t="str">
        <f t="shared" si="16"/>
        <v/>
      </c>
      <c r="E297" s="7"/>
      <c r="F297" s="7"/>
      <c r="G297" s="7"/>
      <c r="H297" s="7"/>
      <c r="I297" s="8" t="str">
        <f t="shared" si="17"/>
        <v/>
      </c>
      <c r="J297" s="8"/>
      <c r="K297" s="8"/>
      <c r="L297" s="8" t="str">
        <f>IF($A297="","",Settings!$B$3+SUMIFS($B$2:$B$495,$A$2:$A$495,"&lt;="&amp;$A297)-SUMIFS($J$2:$J$495,$A$2:$A$495,"&lt;="&amp;$A297)-SUMIFS('Weekly Purchases'!$N$2:$N$503,'Weekly Purchases'!$B$2:$B$503,"&lt;&gt;",'Weekly Purchases'!$B$2:$B$503,"&lt;="&amp;$A297)-SUMIFS('Weekly Purchases'!$N$2:$N$503,'Weekly Purchases'!$B$2:$B$503,"",'Weekly Purchases'!$A$2:$A$503,"&lt;="&amp;$A297))</f>
        <v/>
      </c>
      <c r="M297" s="8" t="str">
        <f>IF($A297="","",Settings!$B$4+SUMIFS($C$2:$C$495,$A$2:$A$495,"&lt;="&amp;$A297)-SUMIFS($K$2:$K$495,$A$2:$A$495,"&lt;="&amp;$A297)-SUMIFS('Weekly Purchases'!$O$2:$O$503,'Weekly Purchases'!$B$2:$B$503,"&lt;&gt;",'Weekly Purchases'!$B$2:$B$503,"&lt;="&amp;$A297)-SUMIFS('Weekly Purchases'!$O$2:$O$503,'Weekly Purchases'!$B$2:$B$503,"",'Weekly Purchases'!$A$2:$A$503,"&lt;="&amp;$A297))</f>
        <v/>
      </c>
      <c r="N297" s="8" t="str">
        <f t="shared" si="18"/>
        <v/>
      </c>
      <c r="O297" s="8" t="str">
        <f t="shared" si="19"/>
        <v/>
      </c>
      <c r="P297" s="4"/>
    </row>
    <row r="298" spans="1:16">
      <c r="A298" s="6"/>
      <c r="B298" s="7"/>
      <c r="C298" s="7"/>
      <c r="D298" s="8" t="str">
        <f t="shared" si="16"/>
        <v/>
      </c>
      <c r="E298" s="7"/>
      <c r="F298" s="7"/>
      <c r="G298" s="7"/>
      <c r="H298" s="7"/>
      <c r="I298" s="8" t="str">
        <f t="shared" si="17"/>
        <v/>
      </c>
      <c r="J298" s="8"/>
      <c r="K298" s="8"/>
      <c r="L298" s="8" t="str">
        <f>IF($A298="","",Settings!$B$3+SUMIFS($B$2:$B$495,$A$2:$A$495,"&lt;="&amp;$A298)-SUMIFS($J$2:$J$495,$A$2:$A$495,"&lt;="&amp;$A298)-SUMIFS('Weekly Purchases'!$N$2:$N$503,'Weekly Purchases'!$B$2:$B$503,"&lt;&gt;",'Weekly Purchases'!$B$2:$B$503,"&lt;="&amp;$A298)-SUMIFS('Weekly Purchases'!$N$2:$N$503,'Weekly Purchases'!$B$2:$B$503,"",'Weekly Purchases'!$A$2:$A$503,"&lt;="&amp;$A298))</f>
        <v/>
      </c>
      <c r="M298" s="8" t="str">
        <f>IF($A298="","",Settings!$B$4+SUMIFS($C$2:$C$495,$A$2:$A$495,"&lt;="&amp;$A298)-SUMIFS($K$2:$K$495,$A$2:$A$495,"&lt;="&amp;$A298)-SUMIFS('Weekly Purchases'!$O$2:$O$503,'Weekly Purchases'!$B$2:$B$503,"&lt;&gt;",'Weekly Purchases'!$B$2:$B$503,"&lt;="&amp;$A298)-SUMIFS('Weekly Purchases'!$O$2:$O$503,'Weekly Purchases'!$B$2:$B$503,"",'Weekly Purchases'!$A$2:$A$503,"&lt;="&amp;$A298))</f>
        <v/>
      </c>
      <c r="N298" s="8" t="str">
        <f t="shared" si="18"/>
        <v/>
      </c>
      <c r="O298" s="8" t="str">
        <f t="shared" si="19"/>
        <v/>
      </c>
      <c r="P298" s="4"/>
    </row>
    <row r="299" spans="1:16">
      <c r="A299" s="6"/>
      <c r="B299" s="7"/>
      <c r="C299" s="7"/>
      <c r="D299" s="8" t="str">
        <f t="shared" si="16"/>
        <v/>
      </c>
      <c r="E299" s="7"/>
      <c r="F299" s="7"/>
      <c r="G299" s="7"/>
      <c r="H299" s="7"/>
      <c r="I299" s="8" t="str">
        <f t="shared" si="17"/>
        <v/>
      </c>
      <c r="J299" s="8"/>
      <c r="K299" s="8"/>
      <c r="L299" s="8" t="str">
        <f>IF($A299="","",Settings!$B$3+SUMIFS($B$2:$B$495,$A$2:$A$495,"&lt;="&amp;$A299)-SUMIFS($J$2:$J$495,$A$2:$A$495,"&lt;="&amp;$A299)-SUMIFS('Weekly Purchases'!$N$2:$N$503,'Weekly Purchases'!$B$2:$B$503,"&lt;&gt;",'Weekly Purchases'!$B$2:$B$503,"&lt;="&amp;$A299)-SUMIFS('Weekly Purchases'!$N$2:$N$503,'Weekly Purchases'!$B$2:$B$503,"",'Weekly Purchases'!$A$2:$A$503,"&lt;="&amp;$A299))</f>
        <v/>
      </c>
      <c r="M299" s="8" t="str">
        <f>IF($A299="","",Settings!$B$4+SUMIFS($C$2:$C$495,$A$2:$A$495,"&lt;="&amp;$A299)-SUMIFS($K$2:$K$495,$A$2:$A$495,"&lt;="&amp;$A299)-SUMIFS('Weekly Purchases'!$O$2:$O$503,'Weekly Purchases'!$B$2:$B$503,"&lt;&gt;",'Weekly Purchases'!$B$2:$B$503,"&lt;="&amp;$A299)-SUMIFS('Weekly Purchases'!$O$2:$O$503,'Weekly Purchases'!$B$2:$B$503,"",'Weekly Purchases'!$A$2:$A$503,"&lt;="&amp;$A299))</f>
        <v/>
      </c>
      <c r="N299" s="8" t="str">
        <f t="shared" si="18"/>
        <v/>
      </c>
      <c r="O299" s="8" t="str">
        <f t="shared" si="19"/>
        <v/>
      </c>
      <c r="P299" s="4"/>
    </row>
    <row r="300" spans="1:16">
      <c r="A300" s="6"/>
      <c r="B300" s="7"/>
      <c r="C300" s="7"/>
      <c r="D300" s="8" t="str">
        <f t="shared" si="16"/>
        <v/>
      </c>
      <c r="E300" s="7"/>
      <c r="F300" s="7"/>
      <c r="G300" s="7"/>
      <c r="H300" s="7"/>
      <c r="I300" s="8" t="str">
        <f t="shared" si="17"/>
        <v/>
      </c>
      <c r="J300" s="8"/>
      <c r="K300" s="8"/>
      <c r="L300" s="8" t="str">
        <f>IF($A300="","",Settings!$B$3+SUMIFS($B$2:$B$495,$A$2:$A$495,"&lt;="&amp;$A300)-SUMIFS($J$2:$J$495,$A$2:$A$495,"&lt;="&amp;$A300)-SUMIFS('Weekly Purchases'!$N$2:$N$503,'Weekly Purchases'!$B$2:$B$503,"&lt;&gt;",'Weekly Purchases'!$B$2:$B$503,"&lt;="&amp;$A300)-SUMIFS('Weekly Purchases'!$N$2:$N$503,'Weekly Purchases'!$B$2:$B$503,"",'Weekly Purchases'!$A$2:$A$503,"&lt;="&amp;$A300))</f>
        <v/>
      </c>
      <c r="M300" s="8" t="str">
        <f>IF($A300="","",Settings!$B$4+SUMIFS($C$2:$C$495,$A$2:$A$495,"&lt;="&amp;$A300)-SUMIFS($K$2:$K$495,$A$2:$A$495,"&lt;="&amp;$A300)-SUMIFS('Weekly Purchases'!$O$2:$O$503,'Weekly Purchases'!$B$2:$B$503,"&lt;&gt;",'Weekly Purchases'!$B$2:$B$503,"&lt;="&amp;$A300)-SUMIFS('Weekly Purchases'!$O$2:$O$503,'Weekly Purchases'!$B$2:$B$503,"",'Weekly Purchases'!$A$2:$A$503,"&lt;="&amp;$A300))</f>
        <v/>
      </c>
      <c r="N300" s="8" t="str">
        <f t="shared" si="18"/>
        <v/>
      </c>
      <c r="O300" s="8" t="str">
        <f t="shared" si="19"/>
        <v/>
      </c>
      <c r="P300" s="4"/>
    </row>
    <row r="301" spans="1:16">
      <c r="A301" s="6"/>
      <c r="B301" s="7"/>
      <c r="C301" s="7"/>
      <c r="D301" s="8" t="str">
        <f t="shared" si="16"/>
        <v/>
      </c>
      <c r="E301" s="7"/>
      <c r="F301" s="7"/>
      <c r="G301" s="7"/>
      <c r="H301" s="7"/>
      <c r="I301" s="8" t="str">
        <f t="shared" si="17"/>
        <v/>
      </c>
      <c r="J301" s="8"/>
      <c r="K301" s="8"/>
      <c r="L301" s="8" t="str">
        <f>IF($A301="","",Settings!$B$3+SUMIFS($B$2:$B$495,$A$2:$A$495,"&lt;="&amp;$A301)-SUMIFS($J$2:$J$495,$A$2:$A$495,"&lt;="&amp;$A301)-SUMIFS('Weekly Purchases'!$N$2:$N$503,'Weekly Purchases'!$B$2:$B$503,"&lt;&gt;",'Weekly Purchases'!$B$2:$B$503,"&lt;="&amp;$A301)-SUMIFS('Weekly Purchases'!$N$2:$N$503,'Weekly Purchases'!$B$2:$B$503,"",'Weekly Purchases'!$A$2:$A$503,"&lt;="&amp;$A301))</f>
        <v/>
      </c>
      <c r="M301" s="8" t="str">
        <f>IF($A301="","",Settings!$B$4+SUMIFS($C$2:$C$495,$A$2:$A$495,"&lt;="&amp;$A301)-SUMIFS($K$2:$K$495,$A$2:$A$495,"&lt;="&amp;$A301)-SUMIFS('Weekly Purchases'!$O$2:$O$503,'Weekly Purchases'!$B$2:$B$503,"&lt;&gt;",'Weekly Purchases'!$B$2:$B$503,"&lt;="&amp;$A301)-SUMIFS('Weekly Purchases'!$O$2:$O$503,'Weekly Purchases'!$B$2:$B$503,"",'Weekly Purchases'!$A$2:$A$503,"&lt;="&amp;$A301))</f>
        <v/>
      </c>
      <c r="N301" s="8" t="str">
        <f t="shared" si="18"/>
        <v/>
      </c>
      <c r="O301" s="8" t="str">
        <f t="shared" si="19"/>
        <v/>
      </c>
      <c r="P301" s="4"/>
    </row>
    <row r="302" spans="1:16">
      <c r="A302" s="6"/>
      <c r="B302" s="7"/>
      <c r="C302" s="7"/>
      <c r="D302" s="8" t="str">
        <f t="shared" si="16"/>
        <v/>
      </c>
      <c r="E302" s="7"/>
      <c r="F302" s="7"/>
      <c r="G302" s="7"/>
      <c r="H302" s="7"/>
      <c r="I302" s="8" t="str">
        <f t="shared" si="17"/>
        <v/>
      </c>
      <c r="J302" s="8"/>
      <c r="K302" s="8"/>
      <c r="L302" s="8" t="str">
        <f>IF($A302="","",Settings!$B$3+SUMIFS($B$2:$B$495,$A$2:$A$495,"&lt;="&amp;$A302)-SUMIFS($J$2:$J$495,$A$2:$A$495,"&lt;="&amp;$A302)-SUMIFS('Weekly Purchases'!$N$2:$N$503,'Weekly Purchases'!$B$2:$B$503,"&lt;&gt;",'Weekly Purchases'!$B$2:$B$503,"&lt;="&amp;$A302)-SUMIFS('Weekly Purchases'!$N$2:$N$503,'Weekly Purchases'!$B$2:$B$503,"",'Weekly Purchases'!$A$2:$A$503,"&lt;="&amp;$A302))</f>
        <v/>
      </c>
      <c r="M302" s="8" t="str">
        <f>IF($A302="","",Settings!$B$4+SUMIFS($C$2:$C$495,$A$2:$A$495,"&lt;="&amp;$A302)-SUMIFS($K$2:$K$495,$A$2:$A$495,"&lt;="&amp;$A302)-SUMIFS('Weekly Purchases'!$O$2:$O$503,'Weekly Purchases'!$B$2:$B$503,"&lt;&gt;",'Weekly Purchases'!$B$2:$B$503,"&lt;="&amp;$A302)-SUMIFS('Weekly Purchases'!$O$2:$O$503,'Weekly Purchases'!$B$2:$B$503,"",'Weekly Purchases'!$A$2:$A$503,"&lt;="&amp;$A302))</f>
        <v/>
      </c>
      <c r="N302" s="8" t="str">
        <f t="shared" si="18"/>
        <v/>
      </c>
      <c r="O302" s="8" t="str">
        <f t="shared" si="19"/>
        <v/>
      </c>
      <c r="P302" s="4"/>
    </row>
    <row r="303" spans="1:16">
      <c r="A303" s="6"/>
      <c r="B303" s="7"/>
      <c r="C303" s="7"/>
      <c r="D303" s="8" t="str">
        <f t="shared" si="16"/>
        <v/>
      </c>
      <c r="E303" s="7"/>
      <c r="F303" s="7"/>
      <c r="G303" s="7"/>
      <c r="H303" s="7"/>
      <c r="I303" s="8" t="str">
        <f t="shared" si="17"/>
        <v/>
      </c>
      <c r="J303" s="8"/>
      <c r="K303" s="8"/>
      <c r="L303" s="8" t="str">
        <f>IF($A303="","",Settings!$B$3+SUMIFS($B$2:$B$495,$A$2:$A$495,"&lt;="&amp;$A303)-SUMIFS($J$2:$J$495,$A$2:$A$495,"&lt;="&amp;$A303)-SUMIFS('Weekly Purchases'!$N$2:$N$503,'Weekly Purchases'!$B$2:$B$503,"&lt;&gt;",'Weekly Purchases'!$B$2:$B$503,"&lt;="&amp;$A303)-SUMIFS('Weekly Purchases'!$N$2:$N$503,'Weekly Purchases'!$B$2:$B$503,"",'Weekly Purchases'!$A$2:$A$503,"&lt;="&amp;$A303))</f>
        <v/>
      </c>
      <c r="M303" s="8" t="str">
        <f>IF($A303="","",Settings!$B$4+SUMIFS($C$2:$C$495,$A$2:$A$495,"&lt;="&amp;$A303)-SUMIFS($K$2:$K$495,$A$2:$A$495,"&lt;="&amp;$A303)-SUMIFS('Weekly Purchases'!$O$2:$O$503,'Weekly Purchases'!$B$2:$B$503,"&lt;&gt;",'Weekly Purchases'!$B$2:$B$503,"&lt;="&amp;$A303)-SUMIFS('Weekly Purchases'!$O$2:$O$503,'Weekly Purchases'!$B$2:$B$503,"",'Weekly Purchases'!$A$2:$A$503,"&lt;="&amp;$A303))</f>
        <v/>
      </c>
      <c r="N303" s="8" t="str">
        <f t="shared" si="18"/>
        <v/>
      </c>
      <c r="O303" s="8" t="str">
        <f t="shared" si="19"/>
        <v/>
      </c>
      <c r="P303" s="4"/>
    </row>
    <row r="304" spans="1:16">
      <c r="A304" s="6"/>
      <c r="B304" s="7"/>
      <c r="C304" s="7"/>
      <c r="D304" s="8" t="str">
        <f t="shared" si="16"/>
        <v/>
      </c>
      <c r="E304" s="7"/>
      <c r="F304" s="7"/>
      <c r="G304" s="7"/>
      <c r="H304" s="7"/>
      <c r="I304" s="8" t="str">
        <f t="shared" si="17"/>
        <v/>
      </c>
      <c r="J304" s="8"/>
      <c r="K304" s="8"/>
      <c r="L304" s="8" t="str">
        <f>IF($A304="","",Settings!$B$3+SUMIFS($B$2:$B$495,$A$2:$A$495,"&lt;="&amp;$A304)-SUMIFS($J$2:$J$495,$A$2:$A$495,"&lt;="&amp;$A304)-SUMIFS('Weekly Purchases'!$N$2:$N$503,'Weekly Purchases'!$B$2:$B$503,"&lt;&gt;",'Weekly Purchases'!$B$2:$B$503,"&lt;="&amp;$A304)-SUMIFS('Weekly Purchases'!$N$2:$N$503,'Weekly Purchases'!$B$2:$B$503,"",'Weekly Purchases'!$A$2:$A$503,"&lt;="&amp;$A304))</f>
        <v/>
      </c>
      <c r="M304" s="8" t="str">
        <f>IF($A304="","",Settings!$B$4+SUMIFS($C$2:$C$495,$A$2:$A$495,"&lt;="&amp;$A304)-SUMIFS($K$2:$K$495,$A$2:$A$495,"&lt;="&amp;$A304)-SUMIFS('Weekly Purchases'!$O$2:$O$503,'Weekly Purchases'!$B$2:$B$503,"&lt;&gt;",'Weekly Purchases'!$B$2:$B$503,"&lt;="&amp;$A304)-SUMIFS('Weekly Purchases'!$O$2:$O$503,'Weekly Purchases'!$B$2:$B$503,"",'Weekly Purchases'!$A$2:$A$503,"&lt;="&amp;$A304))</f>
        <v/>
      </c>
      <c r="N304" s="8" t="str">
        <f t="shared" si="18"/>
        <v/>
      </c>
      <c r="O304" s="8" t="str">
        <f t="shared" si="19"/>
        <v/>
      </c>
      <c r="P304" s="4"/>
    </row>
    <row r="305" spans="1:16">
      <c r="A305" s="6"/>
      <c r="B305" s="7"/>
      <c r="C305" s="7"/>
      <c r="D305" s="8" t="str">
        <f t="shared" si="16"/>
        <v/>
      </c>
      <c r="E305" s="7"/>
      <c r="F305" s="7"/>
      <c r="G305" s="7"/>
      <c r="H305" s="7"/>
      <c r="I305" s="8" t="str">
        <f t="shared" si="17"/>
        <v/>
      </c>
      <c r="J305" s="8"/>
      <c r="K305" s="8"/>
      <c r="L305" s="8" t="str">
        <f>IF($A305="","",Settings!$B$3+SUMIFS($B$2:$B$495,$A$2:$A$495,"&lt;="&amp;$A305)-SUMIFS($J$2:$J$495,$A$2:$A$495,"&lt;="&amp;$A305)-SUMIFS('Weekly Purchases'!$N$2:$N$503,'Weekly Purchases'!$B$2:$B$503,"&lt;&gt;",'Weekly Purchases'!$B$2:$B$503,"&lt;="&amp;$A305)-SUMIFS('Weekly Purchases'!$N$2:$N$503,'Weekly Purchases'!$B$2:$B$503,"",'Weekly Purchases'!$A$2:$A$503,"&lt;="&amp;$A305))</f>
        <v/>
      </c>
      <c r="M305" s="8" t="str">
        <f>IF($A305="","",Settings!$B$4+SUMIFS($C$2:$C$495,$A$2:$A$495,"&lt;="&amp;$A305)-SUMIFS($K$2:$K$495,$A$2:$A$495,"&lt;="&amp;$A305)-SUMIFS('Weekly Purchases'!$O$2:$O$503,'Weekly Purchases'!$B$2:$B$503,"&lt;&gt;",'Weekly Purchases'!$B$2:$B$503,"&lt;="&amp;$A305)-SUMIFS('Weekly Purchases'!$O$2:$O$503,'Weekly Purchases'!$B$2:$B$503,"",'Weekly Purchases'!$A$2:$A$503,"&lt;="&amp;$A305))</f>
        <v/>
      </c>
      <c r="N305" s="8" t="str">
        <f t="shared" si="18"/>
        <v/>
      </c>
      <c r="O305" s="8" t="str">
        <f t="shared" si="19"/>
        <v/>
      </c>
      <c r="P305" s="4"/>
    </row>
    <row r="306" spans="1:16">
      <c r="A306" s="6"/>
      <c r="B306" s="7"/>
      <c r="C306" s="7"/>
      <c r="D306" s="8" t="str">
        <f t="shared" si="16"/>
        <v/>
      </c>
      <c r="E306" s="7"/>
      <c r="F306" s="7"/>
      <c r="G306" s="7"/>
      <c r="H306" s="7"/>
      <c r="I306" s="8" t="str">
        <f t="shared" si="17"/>
        <v/>
      </c>
      <c r="J306" s="8"/>
      <c r="K306" s="8"/>
      <c r="L306" s="8" t="str">
        <f>IF($A306="","",Settings!$B$3+SUMIFS($B$2:$B$495,$A$2:$A$495,"&lt;="&amp;$A306)-SUMIFS($J$2:$J$495,$A$2:$A$495,"&lt;="&amp;$A306)-SUMIFS('Weekly Purchases'!$N$2:$N$503,'Weekly Purchases'!$B$2:$B$503,"&lt;&gt;",'Weekly Purchases'!$B$2:$B$503,"&lt;="&amp;$A306)-SUMIFS('Weekly Purchases'!$N$2:$N$503,'Weekly Purchases'!$B$2:$B$503,"",'Weekly Purchases'!$A$2:$A$503,"&lt;="&amp;$A306))</f>
        <v/>
      </c>
      <c r="M306" s="8" t="str">
        <f>IF($A306="","",Settings!$B$4+SUMIFS($C$2:$C$495,$A$2:$A$495,"&lt;="&amp;$A306)-SUMIFS($K$2:$K$495,$A$2:$A$495,"&lt;="&amp;$A306)-SUMIFS('Weekly Purchases'!$O$2:$O$503,'Weekly Purchases'!$B$2:$B$503,"&lt;&gt;",'Weekly Purchases'!$B$2:$B$503,"&lt;="&amp;$A306)-SUMIFS('Weekly Purchases'!$O$2:$O$503,'Weekly Purchases'!$B$2:$B$503,"",'Weekly Purchases'!$A$2:$A$503,"&lt;="&amp;$A306))</f>
        <v/>
      </c>
      <c r="N306" s="8" t="str">
        <f t="shared" si="18"/>
        <v/>
      </c>
      <c r="O306" s="8" t="str">
        <f t="shared" si="19"/>
        <v/>
      </c>
      <c r="P306" s="4"/>
    </row>
    <row r="307" spans="1:16">
      <c r="A307" s="6"/>
      <c r="B307" s="7"/>
      <c r="C307" s="7"/>
      <c r="D307" s="8" t="str">
        <f t="shared" si="16"/>
        <v/>
      </c>
      <c r="E307" s="7"/>
      <c r="F307" s="7"/>
      <c r="G307" s="7"/>
      <c r="H307" s="7"/>
      <c r="I307" s="8" t="str">
        <f t="shared" si="17"/>
        <v/>
      </c>
      <c r="J307" s="8"/>
      <c r="K307" s="8"/>
      <c r="L307" s="8" t="str">
        <f>IF($A307="","",Settings!$B$3+SUMIFS($B$2:$B$495,$A$2:$A$495,"&lt;="&amp;$A307)-SUMIFS($J$2:$J$495,$A$2:$A$495,"&lt;="&amp;$A307)-SUMIFS('Weekly Purchases'!$N$2:$N$503,'Weekly Purchases'!$B$2:$B$503,"&lt;&gt;",'Weekly Purchases'!$B$2:$B$503,"&lt;="&amp;$A307)-SUMIFS('Weekly Purchases'!$N$2:$N$503,'Weekly Purchases'!$B$2:$B$503,"",'Weekly Purchases'!$A$2:$A$503,"&lt;="&amp;$A307))</f>
        <v/>
      </c>
      <c r="M307" s="8" t="str">
        <f>IF($A307="","",Settings!$B$4+SUMIFS($C$2:$C$495,$A$2:$A$495,"&lt;="&amp;$A307)-SUMIFS($K$2:$K$495,$A$2:$A$495,"&lt;="&amp;$A307)-SUMIFS('Weekly Purchases'!$O$2:$O$503,'Weekly Purchases'!$B$2:$B$503,"&lt;&gt;",'Weekly Purchases'!$B$2:$B$503,"&lt;="&amp;$A307)-SUMIFS('Weekly Purchases'!$O$2:$O$503,'Weekly Purchases'!$B$2:$B$503,"",'Weekly Purchases'!$A$2:$A$503,"&lt;="&amp;$A307))</f>
        <v/>
      </c>
      <c r="N307" s="8" t="str">
        <f t="shared" si="18"/>
        <v/>
      </c>
      <c r="O307" s="8" t="str">
        <f t="shared" si="19"/>
        <v/>
      </c>
      <c r="P307" s="4"/>
    </row>
    <row r="308" spans="1:16">
      <c r="A308" s="6"/>
      <c r="B308" s="7"/>
      <c r="C308" s="7"/>
      <c r="D308" s="8" t="str">
        <f t="shared" si="16"/>
        <v/>
      </c>
      <c r="E308" s="7"/>
      <c r="F308" s="7"/>
      <c r="G308" s="7"/>
      <c r="H308" s="7"/>
      <c r="I308" s="8" t="str">
        <f t="shared" si="17"/>
        <v/>
      </c>
      <c r="J308" s="8"/>
      <c r="K308" s="8"/>
      <c r="L308" s="8" t="str">
        <f>IF($A308="","",Settings!$B$3+SUMIFS($B$2:$B$495,$A$2:$A$495,"&lt;="&amp;$A308)-SUMIFS($J$2:$J$495,$A$2:$A$495,"&lt;="&amp;$A308)-SUMIFS('Weekly Purchases'!$N$2:$N$503,'Weekly Purchases'!$B$2:$B$503,"&lt;&gt;",'Weekly Purchases'!$B$2:$B$503,"&lt;="&amp;$A308)-SUMIFS('Weekly Purchases'!$N$2:$N$503,'Weekly Purchases'!$B$2:$B$503,"",'Weekly Purchases'!$A$2:$A$503,"&lt;="&amp;$A308))</f>
        <v/>
      </c>
      <c r="M308" s="8" t="str">
        <f>IF($A308="","",Settings!$B$4+SUMIFS($C$2:$C$495,$A$2:$A$495,"&lt;="&amp;$A308)-SUMIFS($K$2:$K$495,$A$2:$A$495,"&lt;="&amp;$A308)-SUMIFS('Weekly Purchases'!$O$2:$O$503,'Weekly Purchases'!$B$2:$B$503,"&lt;&gt;",'Weekly Purchases'!$B$2:$B$503,"&lt;="&amp;$A308)-SUMIFS('Weekly Purchases'!$O$2:$O$503,'Weekly Purchases'!$B$2:$B$503,"",'Weekly Purchases'!$A$2:$A$503,"&lt;="&amp;$A308))</f>
        <v/>
      </c>
      <c r="N308" s="8" t="str">
        <f t="shared" si="18"/>
        <v/>
      </c>
      <c r="O308" s="8" t="str">
        <f t="shared" si="19"/>
        <v/>
      </c>
      <c r="P308" s="4"/>
    </row>
    <row r="309" spans="1:16">
      <c r="A309" s="6"/>
      <c r="B309" s="7"/>
      <c r="C309" s="7"/>
      <c r="D309" s="8" t="str">
        <f t="shared" si="16"/>
        <v/>
      </c>
      <c r="E309" s="7"/>
      <c r="F309" s="7"/>
      <c r="G309" s="7"/>
      <c r="H309" s="7"/>
      <c r="I309" s="8" t="str">
        <f t="shared" si="17"/>
        <v/>
      </c>
      <c r="J309" s="8"/>
      <c r="K309" s="8"/>
      <c r="L309" s="8" t="str">
        <f>IF($A309="","",Settings!$B$3+SUMIFS($B$2:$B$495,$A$2:$A$495,"&lt;="&amp;$A309)-SUMIFS($J$2:$J$495,$A$2:$A$495,"&lt;="&amp;$A309)-SUMIFS('Weekly Purchases'!$N$2:$N$503,'Weekly Purchases'!$B$2:$B$503,"&lt;&gt;",'Weekly Purchases'!$B$2:$B$503,"&lt;="&amp;$A309)-SUMIFS('Weekly Purchases'!$N$2:$N$503,'Weekly Purchases'!$B$2:$B$503,"",'Weekly Purchases'!$A$2:$A$503,"&lt;="&amp;$A309))</f>
        <v/>
      </c>
      <c r="M309" s="8" t="str">
        <f>IF($A309="","",Settings!$B$4+SUMIFS($C$2:$C$495,$A$2:$A$495,"&lt;="&amp;$A309)-SUMIFS($K$2:$K$495,$A$2:$A$495,"&lt;="&amp;$A309)-SUMIFS('Weekly Purchases'!$O$2:$O$503,'Weekly Purchases'!$B$2:$B$503,"&lt;&gt;",'Weekly Purchases'!$B$2:$B$503,"&lt;="&amp;$A309)-SUMIFS('Weekly Purchases'!$O$2:$O$503,'Weekly Purchases'!$B$2:$B$503,"",'Weekly Purchases'!$A$2:$A$503,"&lt;="&amp;$A309))</f>
        <v/>
      </c>
      <c r="N309" s="8" t="str">
        <f t="shared" si="18"/>
        <v/>
      </c>
      <c r="O309" s="8" t="str">
        <f t="shared" si="19"/>
        <v/>
      </c>
      <c r="P309" s="4"/>
    </row>
    <row r="310" spans="1:16">
      <c r="A310" s="6"/>
      <c r="B310" s="7"/>
      <c r="C310" s="7"/>
      <c r="D310" s="8" t="str">
        <f t="shared" si="16"/>
        <v/>
      </c>
      <c r="E310" s="7"/>
      <c r="F310" s="7"/>
      <c r="G310" s="7"/>
      <c r="H310" s="7"/>
      <c r="I310" s="8" t="str">
        <f t="shared" si="17"/>
        <v/>
      </c>
      <c r="J310" s="8"/>
      <c r="K310" s="8"/>
      <c r="L310" s="8" t="str">
        <f>IF($A310="","",Settings!$B$3+SUMIFS($B$2:$B$495,$A$2:$A$495,"&lt;="&amp;$A310)-SUMIFS($J$2:$J$495,$A$2:$A$495,"&lt;="&amp;$A310)-SUMIFS('Weekly Purchases'!$N$2:$N$503,'Weekly Purchases'!$B$2:$B$503,"&lt;&gt;",'Weekly Purchases'!$B$2:$B$503,"&lt;="&amp;$A310)-SUMIFS('Weekly Purchases'!$N$2:$N$503,'Weekly Purchases'!$B$2:$B$503,"",'Weekly Purchases'!$A$2:$A$503,"&lt;="&amp;$A310))</f>
        <v/>
      </c>
      <c r="M310" s="8" t="str">
        <f>IF($A310="","",Settings!$B$4+SUMIFS($C$2:$C$495,$A$2:$A$495,"&lt;="&amp;$A310)-SUMIFS($K$2:$K$495,$A$2:$A$495,"&lt;="&amp;$A310)-SUMIFS('Weekly Purchases'!$O$2:$O$503,'Weekly Purchases'!$B$2:$B$503,"&lt;&gt;",'Weekly Purchases'!$B$2:$B$503,"&lt;="&amp;$A310)-SUMIFS('Weekly Purchases'!$O$2:$O$503,'Weekly Purchases'!$B$2:$B$503,"",'Weekly Purchases'!$A$2:$A$503,"&lt;="&amp;$A310))</f>
        <v/>
      </c>
      <c r="N310" s="8" t="str">
        <f t="shared" si="18"/>
        <v/>
      </c>
      <c r="O310" s="8" t="str">
        <f t="shared" si="19"/>
        <v/>
      </c>
      <c r="P310" s="4"/>
    </row>
    <row r="311" spans="1:16">
      <c r="A311" s="6"/>
      <c r="B311" s="7"/>
      <c r="C311" s="7"/>
      <c r="D311" s="8" t="str">
        <f t="shared" si="16"/>
        <v/>
      </c>
      <c r="E311" s="7"/>
      <c r="F311" s="7"/>
      <c r="G311" s="7"/>
      <c r="H311" s="7"/>
      <c r="I311" s="8" t="str">
        <f t="shared" si="17"/>
        <v/>
      </c>
      <c r="J311" s="8"/>
      <c r="K311" s="8"/>
      <c r="L311" s="8" t="str">
        <f>IF($A311="","",Settings!$B$3+SUMIFS($B$2:$B$495,$A$2:$A$495,"&lt;="&amp;$A311)-SUMIFS($J$2:$J$495,$A$2:$A$495,"&lt;="&amp;$A311)-SUMIFS('Weekly Purchases'!$N$2:$N$503,'Weekly Purchases'!$B$2:$B$503,"&lt;&gt;",'Weekly Purchases'!$B$2:$B$503,"&lt;="&amp;$A311)-SUMIFS('Weekly Purchases'!$N$2:$N$503,'Weekly Purchases'!$B$2:$B$503,"",'Weekly Purchases'!$A$2:$A$503,"&lt;="&amp;$A311))</f>
        <v/>
      </c>
      <c r="M311" s="8" t="str">
        <f>IF($A311="","",Settings!$B$4+SUMIFS($C$2:$C$495,$A$2:$A$495,"&lt;="&amp;$A311)-SUMIFS($K$2:$K$495,$A$2:$A$495,"&lt;="&amp;$A311)-SUMIFS('Weekly Purchases'!$O$2:$O$503,'Weekly Purchases'!$B$2:$B$503,"&lt;&gt;",'Weekly Purchases'!$B$2:$B$503,"&lt;="&amp;$A311)-SUMIFS('Weekly Purchases'!$O$2:$O$503,'Weekly Purchases'!$B$2:$B$503,"",'Weekly Purchases'!$A$2:$A$503,"&lt;="&amp;$A311))</f>
        <v/>
      </c>
      <c r="N311" s="8" t="str">
        <f t="shared" si="18"/>
        <v/>
      </c>
      <c r="O311" s="8" t="str">
        <f t="shared" si="19"/>
        <v/>
      </c>
      <c r="P311" s="4"/>
    </row>
    <row r="312" spans="1:16">
      <c r="A312" s="6"/>
      <c r="B312" s="7"/>
      <c r="C312" s="7"/>
      <c r="D312" s="8" t="str">
        <f t="shared" si="16"/>
        <v/>
      </c>
      <c r="E312" s="7"/>
      <c r="F312" s="7"/>
      <c r="G312" s="7"/>
      <c r="H312" s="7"/>
      <c r="I312" s="8" t="str">
        <f t="shared" si="17"/>
        <v/>
      </c>
      <c r="J312" s="8"/>
      <c r="K312" s="8"/>
      <c r="L312" s="8" t="str">
        <f>IF($A312="","",Settings!$B$3+SUMIFS($B$2:$B$495,$A$2:$A$495,"&lt;="&amp;$A312)-SUMIFS($J$2:$J$495,$A$2:$A$495,"&lt;="&amp;$A312)-SUMIFS('Weekly Purchases'!$N$2:$N$503,'Weekly Purchases'!$B$2:$B$503,"&lt;&gt;",'Weekly Purchases'!$B$2:$B$503,"&lt;="&amp;$A312)-SUMIFS('Weekly Purchases'!$N$2:$N$503,'Weekly Purchases'!$B$2:$B$503,"",'Weekly Purchases'!$A$2:$A$503,"&lt;="&amp;$A312))</f>
        <v/>
      </c>
      <c r="M312" s="8" t="str">
        <f>IF($A312="","",Settings!$B$4+SUMIFS($C$2:$C$495,$A$2:$A$495,"&lt;="&amp;$A312)-SUMIFS($K$2:$K$495,$A$2:$A$495,"&lt;="&amp;$A312)-SUMIFS('Weekly Purchases'!$O$2:$O$503,'Weekly Purchases'!$B$2:$B$503,"&lt;&gt;",'Weekly Purchases'!$B$2:$B$503,"&lt;="&amp;$A312)-SUMIFS('Weekly Purchases'!$O$2:$O$503,'Weekly Purchases'!$B$2:$B$503,"",'Weekly Purchases'!$A$2:$A$503,"&lt;="&amp;$A312))</f>
        <v/>
      </c>
      <c r="N312" s="8" t="str">
        <f t="shared" si="18"/>
        <v/>
      </c>
      <c r="O312" s="8" t="str">
        <f t="shared" si="19"/>
        <v/>
      </c>
      <c r="P312" s="4"/>
    </row>
    <row r="313" spans="1:16">
      <c r="A313" s="6"/>
      <c r="B313" s="7"/>
      <c r="C313" s="7"/>
      <c r="D313" s="8" t="str">
        <f t="shared" si="16"/>
        <v/>
      </c>
      <c r="E313" s="7"/>
      <c r="F313" s="7"/>
      <c r="G313" s="7"/>
      <c r="H313" s="7"/>
      <c r="I313" s="8" t="str">
        <f t="shared" si="17"/>
        <v/>
      </c>
      <c r="J313" s="8"/>
      <c r="K313" s="8"/>
      <c r="L313" s="8" t="str">
        <f>IF($A313="","",Settings!$B$3+SUMIFS($B$2:$B$495,$A$2:$A$495,"&lt;="&amp;$A313)-SUMIFS($J$2:$J$495,$A$2:$A$495,"&lt;="&amp;$A313)-SUMIFS('Weekly Purchases'!$N$2:$N$503,'Weekly Purchases'!$B$2:$B$503,"&lt;&gt;",'Weekly Purchases'!$B$2:$B$503,"&lt;="&amp;$A313)-SUMIFS('Weekly Purchases'!$N$2:$N$503,'Weekly Purchases'!$B$2:$B$503,"",'Weekly Purchases'!$A$2:$A$503,"&lt;="&amp;$A313))</f>
        <v/>
      </c>
      <c r="M313" s="8" t="str">
        <f>IF($A313="","",Settings!$B$4+SUMIFS($C$2:$C$495,$A$2:$A$495,"&lt;="&amp;$A313)-SUMIFS($K$2:$K$495,$A$2:$A$495,"&lt;="&amp;$A313)-SUMIFS('Weekly Purchases'!$O$2:$O$503,'Weekly Purchases'!$B$2:$B$503,"&lt;&gt;",'Weekly Purchases'!$B$2:$B$503,"&lt;="&amp;$A313)-SUMIFS('Weekly Purchases'!$O$2:$O$503,'Weekly Purchases'!$B$2:$B$503,"",'Weekly Purchases'!$A$2:$A$503,"&lt;="&amp;$A313))</f>
        <v/>
      </c>
      <c r="N313" s="8" t="str">
        <f t="shared" si="18"/>
        <v/>
      </c>
      <c r="O313" s="8" t="str">
        <f t="shared" si="19"/>
        <v/>
      </c>
      <c r="P313" s="4"/>
    </row>
    <row r="314" spans="1:16">
      <c r="A314" s="6"/>
      <c r="B314" s="7"/>
      <c r="C314" s="7"/>
      <c r="D314" s="8" t="str">
        <f t="shared" ref="D314:D377" si="20">IF($A314="","",SUM($B314:$C314))</f>
        <v/>
      </c>
      <c r="E314" s="7"/>
      <c r="F314" s="7"/>
      <c r="G314" s="7"/>
      <c r="H314" s="7"/>
      <c r="I314" s="8" t="str">
        <f t="shared" ref="I314:I377" si="21">IF($A314="","",SUM($E314:$H314))</f>
        <v/>
      </c>
      <c r="J314" s="8"/>
      <c r="K314" s="8"/>
      <c r="L314" s="8" t="str">
        <f>IF($A314="","",Settings!$B$3+SUMIFS($B$2:$B$495,$A$2:$A$495,"&lt;="&amp;$A314)-SUMIFS($J$2:$J$495,$A$2:$A$495,"&lt;="&amp;$A314)-SUMIFS('Weekly Purchases'!$N$2:$N$503,'Weekly Purchases'!$B$2:$B$503,"&lt;&gt;",'Weekly Purchases'!$B$2:$B$503,"&lt;="&amp;$A314)-SUMIFS('Weekly Purchases'!$N$2:$N$503,'Weekly Purchases'!$B$2:$B$503,"",'Weekly Purchases'!$A$2:$A$503,"&lt;="&amp;$A314))</f>
        <v/>
      </c>
      <c r="M314" s="8" t="str">
        <f>IF($A314="","",Settings!$B$4+SUMIFS($C$2:$C$495,$A$2:$A$495,"&lt;="&amp;$A314)-SUMIFS($K$2:$K$495,$A$2:$A$495,"&lt;="&amp;$A314)-SUMIFS('Weekly Purchases'!$O$2:$O$503,'Weekly Purchases'!$B$2:$B$503,"&lt;&gt;",'Weekly Purchases'!$B$2:$B$503,"&lt;="&amp;$A314)-SUMIFS('Weekly Purchases'!$O$2:$O$503,'Weekly Purchases'!$B$2:$B$503,"",'Weekly Purchases'!$A$2:$A$503,"&lt;="&amp;$A314))</f>
        <v/>
      </c>
      <c r="N314" s="8" t="str">
        <f t="shared" ref="N314:N377" si="22">IF($A314="","",L314+M314)</f>
        <v/>
      </c>
      <c r="O314" s="8" t="str">
        <f t="shared" ref="O314:O377" si="23">IF($A314="","",D314-I314)</f>
        <v/>
      </c>
      <c r="P314" s="4"/>
    </row>
    <row r="315" spans="1:16">
      <c r="A315" s="6"/>
      <c r="B315" s="7"/>
      <c r="C315" s="7"/>
      <c r="D315" s="8" t="str">
        <f t="shared" si="20"/>
        <v/>
      </c>
      <c r="E315" s="7"/>
      <c r="F315" s="7"/>
      <c r="G315" s="7"/>
      <c r="H315" s="7"/>
      <c r="I315" s="8" t="str">
        <f t="shared" si="21"/>
        <v/>
      </c>
      <c r="J315" s="8"/>
      <c r="K315" s="8"/>
      <c r="L315" s="8" t="str">
        <f>IF($A315="","",Settings!$B$3+SUMIFS($B$2:$B$495,$A$2:$A$495,"&lt;="&amp;$A315)-SUMIFS($J$2:$J$495,$A$2:$A$495,"&lt;="&amp;$A315)-SUMIFS('Weekly Purchases'!$N$2:$N$503,'Weekly Purchases'!$B$2:$B$503,"&lt;&gt;",'Weekly Purchases'!$B$2:$B$503,"&lt;="&amp;$A315)-SUMIFS('Weekly Purchases'!$N$2:$N$503,'Weekly Purchases'!$B$2:$B$503,"",'Weekly Purchases'!$A$2:$A$503,"&lt;="&amp;$A315))</f>
        <v/>
      </c>
      <c r="M315" s="8" t="str">
        <f>IF($A315="","",Settings!$B$4+SUMIFS($C$2:$C$495,$A$2:$A$495,"&lt;="&amp;$A315)-SUMIFS($K$2:$K$495,$A$2:$A$495,"&lt;="&amp;$A315)-SUMIFS('Weekly Purchases'!$O$2:$O$503,'Weekly Purchases'!$B$2:$B$503,"&lt;&gt;",'Weekly Purchases'!$B$2:$B$503,"&lt;="&amp;$A315)-SUMIFS('Weekly Purchases'!$O$2:$O$503,'Weekly Purchases'!$B$2:$B$503,"",'Weekly Purchases'!$A$2:$A$503,"&lt;="&amp;$A315))</f>
        <v/>
      </c>
      <c r="N315" s="8" t="str">
        <f t="shared" si="22"/>
        <v/>
      </c>
      <c r="O315" s="8" t="str">
        <f t="shared" si="23"/>
        <v/>
      </c>
      <c r="P315" s="4"/>
    </row>
    <row r="316" spans="1:16">
      <c r="A316" s="6"/>
      <c r="B316" s="7"/>
      <c r="C316" s="7"/>
      <c r="D316" s="8" t="str">
        <f t="shared" si="20"/>
        <v/>
      </c>
      <c r="E316" s="7"/>
      <c r="F316" s="7"/>
      <c r="G316" s="7"/>
      <c r="H316" s="7"/>
      <c r="I316" s="8" t="str">
        <f t="shared" si="21"/>
        <v/>
      </c>
      <c r="J316" s="8"/>
      <c r="K316" s="8"/>
      <c r="L316" s="8" t="str">
        <f>IF($A316="","",Settings!$B$3+SUMIFS($B$2:$B$495,$A$2:$A$495,"&lt;="&amp;$A316)-SUMIFS($J$2:$J$495,$A$2:$A$495,"&lt;="&amp;$A316)-SUMIFS('Weekly Purchases'!$N$2:$N$503,'Weekly Purchases'!$B$2:$B$503,"&lt;&gt;",'Weekly Purchases'!$B$2:$B$503,"&lt;="&amp;$A316)-SUMIFS('Weekly Purchases'!$N$2:$N$503,'Weekly Purchases'!$B$2:$B$503,"",'Weekly Purchases'!$A$2:$A$503,"&lt;="&amp;$A316))</f>
        <v/>
      </c>
      <c r="M316" s="8" t="str">
        <f>IF($A316="","",Settings!$B$4+SUMIFS($C$2:$C$495,$A$2:$A$495,"&lt;="&amp;$A316)-SUMIFS($K$2:$K$495,$A$2:$A$495,"&lt;="&amp;$A316)-SUMIFS('Weekly Purchases'!$O$2:$O$503,'Weekly Purchases'!$B$2:$B$503,"&lt;&gt;",'Weekly Purchases'!$B$2:$B$503,"&lt;="&amp;$A316)-SUMIFS('Weekly Purchases'!$O$2:$O$503,'Weekly Purchases'!$B$2:$B$503,"",'Weekly Purchases'!$A$2:$A$503,"&lt;="&amp;$A316))</f>
        <v/>
      </c>
      <c r="N316" s="8" t="str">
        <f t="shared" si="22"/>
        <v/>
      </c>
      <c r="O316" s="8" t="str">
        <f t="shared" si="23"/>
        <v/>
      </c>
      <c r="P316" s="4"/>
    </row>
    <row r="317" spans="1:16">
      <c r="A317" s="6"/>
      <c r="B317" s="7"/>
      <c r="C317" s="7"/>
      <c r="D317" s="8" t="str">
        <f t="shared" si="20"/>
        <v/>
      </c>
      <c r="E317" s="7"/>
      <c r="F317" s="7"/>
      <c r="G317" s="7"/>
      <c r="H317" s="7"/>
      <c r="I317" s="8" t="str">
        <f t="shared" si="21"/>
        <v/>
      </c>
      <c r="J317" s="8"/>
      <c r="K317" s="8"/>
      <c r="L317" s="8" t="str">
        <f>IF($A317="","",Settings!$B$3+SUMIFS($B$2:$B$495,$A$2:$A$495,"&lt;="&amp;$A317)-SUMIFS($J$2:$J$495,$A$2:$A$495,"&lt;="&amp;$A317)-SUMIFS('Weekly Purchases'!$N$2:$N$503,'Weekly Purchases'!$B$2:$B$503,"&lt;&gt;",'Weekly Purchases'!$B$2:$B$503,"&lt;="&amp;$A317)-SUMIFS('Weekly Purchases'!$N$2:$N$503,'Weekly Purchases'!$B$2:$B$503,"",'Weekly Purchases'!$A$2:$A$503,"&lt;="&amp;$A317))</f>
        <v/>
      </c>
      <c r="M317" s="8" t="str">
        <f>IF($A317="","",Settings!$B$4+SUMIFS($C$2:$C$495,$A$2:$A$495,"&lt;="&amp;$A317)-SUMIFS($K$2:$K$495,$A$2:$A$495,"&lt;="&amp;$A317)-SUMIFS('Weekly Purchases'!$O$2:$O$503,'Weekly Purchases'!$B$2:$B$503,"&lt;&gt;",'Weekly Purchases'!$B$2:$B$503,"&lt;="&amp;$A317)-SUMIFS('Weekly Purchases'!$O$2:$O$503,'Weekly Purchases'!$B$2:$B$503,"",'Weekly Purchases'!$A$2:$A$503,"&lt;="&amp;$A317))</f>
        <v/>
      </c>
      <c r="N317" s="8" t="str">
        <f t="shared" si="22"/>
        <v/>
      </c>
      <c r="O317" s="8" t="str">
        <f t="shared" si="23"/>
        <v/>
      </c>
      <c r="P317" s="4"/>
    </row>
    <row r="318" spans="1:16">
      <c r="A318" s="6"/>
      <c r="B318" s="7"/>
      <c r="C318" s="7"/>
      <c r="D318" s="8" t="str">
        <f t="shared" si="20"/>
        <v/>
      </c>
      <c r="E318" s="7"/>
      <c r="F318" s="7"/>
      <c r="G318" s="7"/>
      <c r="H318" s="7"/>
      <c r="I318" s="8" t="str">
        <f t="shared" si="21"/>
        <v/>
      </c>
      <c r="J318" s="8"/>
      <c r="K318" s="8"/>
      <c r="L318" s="8" t="str">
        <f>IF($A318="","",Settings!$B$3+SUMIFS($B$2:$B$495,$A$2:$A$495,"&lt;="&amp;$A318)-SUMIFS($J$2:$J$495,$A$2:$A$495,"&lt;="&amp;$A318)-SUMIFS('Weekly Purchases'!$N$2:$N$503,'Weekly Purchases'!$B$2:$B$503,"&lt;&gt;",'Weekly Purchases'!$B$2:$B$503,"&lt;="&amp;$A318)-SUMIFS('Weekly Purchases'!$N$2:$N$503,'Weekly Purchases'!$B$2:$B$503,"",'Weekly Purchases'!$A$2:$A$503,"&lt;="&amp;$A318))</f>
        <v/>
      </c>
      <c r="M318" s="8" t="str">
        <f>IF($A318="","",Settings!$B$4+SUMIFS($C$2:$C$495,$A$2:$A$495,"&lt;="&amp;$A318)-SUMIFS($K$2:$K$495,$A$2:$A$495,"&lt;="&amp;$A318)-SUMIFS('Weekly Purchases'!$O$2:$O$503,'Weekly Purchases'!$B$2:$B$503,"&lt;&gt;",'Weekly Purchases'!$B$2:$B$503,"&lt;="&amp;$A318)-SUMIFS('Weekly Purchases'!$O$2:$O$503,'Weekly Purchases'!$B$2:$B$503,"",'Weekly Purchases'!$A$2:$A$503,"&lt;="&amp;$A318))</f>
        <v/>
      </c>
      <c r="N318" s="8" t="str">
        <f t="shared" si="22"/>
        <v/>
      </c>
      <c r="O318" s="8" t="str">
        <f t="shared" si="23"/>
        <v/>
      </c>
      <c r="P318" s="4"/>
    </row>
    <row r="319" spans="1:16">
      <c r="A319" s="6"/>
      <c r="B319" s="7"/>
      <c r="C319" s="7"/>
      <c r="D319" s="8" t="str">
        <f t="shared" si="20"/>
        <v/>
      </c>
      <c r="E319" s="7"/>
      <c r="F319" s="7"/>
      <c r="G319" s="7"/>
      <c r="H319" s="7"/>
      <c r="I319" s="8" t="str">
        <f t="shared" si="21"/>
        <v/>
      </c>
      <c r="J319" s="8"/>
      <c r="K319" s="8"/>
      <c r="L319" s="8" t="str">
        <f>IF($A319="","",Settings!$B$3+SUMIFS($B$2:$B$495,$A$2:$A$495,"&lt;="&amp;$A319)-SUMIFS($J$2:$J$495,$A$2:$A$495,"&lt;="&amp;$A319)-SUMIFS('Weekly Purchases'!$N$2:$N$503,'Weekly Purchases'!$B$2:$B$503,"&lt;&gt;",'Weekly Purchases'!$B$2:$B$503,"&lt;="&amp;$A319)-SUMIFS('Weekly Purchases'!$N$2:$N$503,'Weekly Purchases'!$B$2:$B$503,"",'Weekly Purchases'!$A$2:$A$503,"&lt;="&amp;$A319))</f>
        <v/>
      </c>
      <c r="M319" s="8" t="str">
        <f>IF($A319="","",Settings!$B$4+SUMIFS($C$2:$C$495,$A$2:$A$495,"&lt;="&amp;$A319)-SUMIFS($K$2:$K$495,$A$2:$A$495,"&lt;="&amp;$A319)-SUMIFS('Weekly Purchases'!$O$2:$O$503,'Weekly Purchases'!$B$2:$B$503,"&lt;&gt;",'Weekly Purchases'!$B$2:$B$503,"&lt;="&amp;$A319)-SUMIFS('Weekly Purchases'!$O$2:$O$503,'Weekly Purchases'!$B$2:$B$503,"",'Weekly Purchases'!$A$2:$A$503,"&lt;="&amp;$A319))</f>
        <v/>
      </c>
      <c r="N319" s="8" t="str">
        <f t="shared" si="22"/>
        <v/>
      </c>
      <c r="O319" s="8" t="str">
        <f t="shared" si="23"/>
        <v/>
      </c>
      <c r="P319" s="4"/>
    </row>
    <row r="320" spans="1:16">
      <c r="A320" s="6"/>
      <c r="B320" s="7"/>
      <c r="C320" s="7"/>
      <c r="D320" s="8" t="str">
        <f t="shared" si="20"/>
        <v/>
      </c>
      <c r="E320" s="7"/>
      <c r="F320" s="7"/>
      <c r="G320" s="7"/>
      <c r="H320" s="7"/>
      <c r="I320" s="8" t="str">
        <f t="shared" si="21"/>
        <v/>
      </c>
      <c r="J320" s="8"/>
      <c r="K320" s="8"/>
      <c r="L320" s="8" t="str">
        <f>IF($A320="","",Settings!$B$3+SUMIFS($B$2:$B$495,$A$2:$A$495,"&lt;="&amp;$A320)-SUMIFS($J$2:$J$495,$A$2:$A$495,"&lt;="&amp;$A320)-SUMIFS('Weekly Purchases'!$N$2:$N$503,'Weekly Purchases'!$B$2:$B$503,"&lt;&gt;",'Weekly Purchases'!$B$2:$B$503,"&lt;="&amp;$A320)-SUMIFS('Weekly Purchases'!$N$2:$N$503,'Weekly Purchases'!$B$2:$B$503,"",'Weekly Purchases'!$A$2:$A$503,"&lt;="&amp;$A320))</f>
        <v/>
      </c>
      <c r="M320" s="8" t="str">
        <f>IF($A320="","",Settings!$B$4+SUMIFS($C$2:$C$495,$A$2:$A$495,"&lt;="&amp;$A320)-SUMIFS($K$2:$K$495,$A$2:$A$495,"&lt;="&amp;$A320)-SUMIFS('Weekly Purchases'!$O$2:$O$503,'Weekly Purchases'!$B$2:$B$503,"&lt;&gt;",'Weekly Purchases'!$B$2:$B$503,"&lt;="&amp;$A320)-SUMIFS('Weekly Purchases'!$O$2:$O$503,'Weekly Purchases'!$B$2:$B$503,"",'Weekly Purchases'!$A$2:$A$503,"&lt;="&amp;$A320))</f>
        <v/>
      </c>
      <c r="N320" s="8" t="str">
        <f t="shared" si="22"/>
        <v/>
      </c>
      <c r="O320" s="8" t="str">
        <f t="shared" si="23"/>
        <v/>
      </c>
      <c r="P320" s="4"/>
    </row>
    <row r="321" spans="1:16">
      <c r="A321" s="6"/>
      <c r="B321" s="7"/>
      <c r="C321" s="7"/>
      <c r="D321" s="8" t="str">
        <f t="shared" si="20"/>
        <v/>
      </c>
      <c r="E321" s="7"/>
      <c r="F321" s="7"/>
      <c r="G321" s="7"/>
      <c r="H321" s="7"/>
      <c r="I321" s="8" t="str">
        <f t="shared" si="21"/>
        <v/>
      </c>
      <c r="J321" s="8"/>
      <c r="K321" s="8"/>
      <c r="L321" s="8" t="str">
        <f>IF($A321="","",Settings!$B$3+SUMIFS($B$2:$B$495,$A$2:$A$495,"&lt;="&amp;$A321)-SUMIFS($J$2:$J$495,$A$2:$A$495,"&lt;="&amp;$A321)-SUMIFS('Weekly Purchases'!$N$2:$N$503,'Weekly Purchases'!$B$2:$B$503,"&lt;&gt;",'Weekly Purchases'!$B$2:$B$503,"&lt;="&amp;$A321)-SUMIFS('Weekly Purchases'!$N$2:$N$503,'Weekly Purchases'!$B$2:$B$503,"",'Weekly Purchases'!$A$2:$A$503,"&lt;="&amp;$A321))</f>
        <v/>
      </c>
      <c r="M321" s="8" t="str">
        <f>IF($A321="","",Settings!$B$4+SUMIFS($C$2:$C$495,$A$2:$A$495,"&lt;="&amp;$A321)-SUMIFS($K$2:$K$495,$A$2:$A$495,"&lt;="&amp;$A321)-SUMIFS('Weekly Purchases'!$O$2:$O$503,'Weekly Purchases'!$B$2:$B$503,"&lt;&gt;",'Weekly Purchases'!$B$2:$B$503,"&lt;="&amp;$A321)-SUMIFS('Weekly Purchases'!$O$2:$O$503,'Weekly Purchases'!$B$2:$B$503,"",'Weekly Purchases'!$A$2:$A$503,"&lt;="&amp;$A321))</f>
        <v/>
      </c>
      <c r="N321" s="8" t="str">
        <f t="shared" si="22"/>
        <v/>
      </c>
      <c r="O321" s="8" t="str">
        <f t="shared" si="23"/>
        <v/>
      </c>
      <c r="P321" s="4"/>
    </row>
    <row r="322" spans="1:16">
      <c r="A322" s="6"/>
      <c r="B322" s="7"/>
      <c r="C322" s="7"/>
      <c r="D322" s="8" t="str">
        <f t="shared" si="20"/>
        <v/>
      </c>
      <c r="E322" s="7"/>
      <c r="F322" s="7"/>
      <c r="G322" s="7"/>
      <c r="H322" s="7"/>
      <c r="I322" s="8" t="str">
        <f t="shared" si="21"/>
        <v/>
      </c>
      <c r="J322" s="8"/>
      <c r="K322" s="8"/>
      <c r="L322" s="8" t="str">
        <f>IF($A322="","",Settings!$B$3+SUMIFS($B$2:$B$495,$A$2:$A$495,"&lt;="&amp;$A322)-SUMIFS($J$2:$J$495,$A$2:$A$495,"&lt;="&amp;$A322)-SUMIFS('Weekly Purchases'!$N$2:$N$503,'Weekly Purchases'!$B$2:$B$503,"&lt;&gt;",'Weekly Purchases'!$B$2:$B$503,"&lt;="&amp;$A322)-SUMIFS('Weekly Purchases'!$N$2:$N$503,'Weekly Purchases'!$B$2:$B$503,"",'Weekly Purchases'!$A$2:$A$503,"&lt;="&amp;$A322))</f>
        <v/>
      </c>
      <c r="M322" s="8" t="str">
        <f>IF($A322="","",Settings!$B$4+SUMIFS($C$2:$C$495,$A$2:$A$495,"&lt;="&amp;$A322)-SUMIFS($K$2:$K$495,$A$2:$A$495,"&lt;="&amp;$A322)-SUMIFS('Weekly Purchases'!$O$2:$O$503,'Weekly Purchases'!$B$2:$B$503,"&lt;&gt;",'Weekly Purchases'!$B$2:$B$503,"&lt;="&amp;$A322)-SUMIFS('Weekly Purchases'!$O$2:$O$503,'Weekly Purchases'!$B$2:$B$503,"",'Weekly Purchases'!$A$2:$A$503,"&lt;="&amp;$A322))</f>
        <v/>
      </c>
      <c r="N322" s="8" t="str">
        <f t="shared" si="22"/>
        <v/>
      </c>
      <c r="O322" s="8" t="str">
        <f t="shared" si="23"/>
        <v/>
      </c>
      <c r="P322" s="4"/>
    </row>
    <row r="323" spans="1:16">
      <c r="A323" s="6"/>
      <c r="B323" s="7"/>
      <c r="C323" s="7"/>
      <c r="D323" s="8" t="str">
        <f t="shared" si="20"/>
        <v/>
      </c>
      <c r="E323" s="7"/>
      <c r="F323" s="7"/>
      <c r="G323" s="7"/>
      <c r="H323" s="7"/>
      <c r="I323" s="8" t="str">
        <f t="shared" si="21"/>
        <v/>
      </c>
      <c r="J323" s="8"/>
      <c r="K323" s="8"/>
      <c r="L323" s="8" t="str">
        <f>IF($A323="","",Settings!$B$3+SUMIFS($B$2:$B$495,$A$2:$A$495,"&lt;="&amp;$A323)-SUMIFS($J$2:$J$495,$A$2:$A$495,"&lt;="&amp;$A323)-SUMIFS('Weekly Purchases'!$N$2:$N$503,'Weekly Purchases'!$B$2:$B$503,"&lt;&gt;",'Weekly Purchases'!$B$2:$B$503,"&lt;="&amp;$A323)-SUMIFS('Weekly Purchases'!$N$2:$N$503,'Weekly Purchases'!$B$2:$B$503,"",'Weekly Purchases'!$A$2:$A$503,"&lt;="&amp;$A323))</f>
        <v/>
      </c>
      <c r="M323" s="8" t="str">
        <f>IF($A323="","",Settings!$B$4+SUMIFS($C$2:$C$495,$A$2:$A$495,"&lt;="&amp;$A323)-SUMIFS($K$2:$K$495,$A$2:$A$495,"&lt;="&amp;$A323)-SUMIFS('Weekly Purchases'!$O$2:$O$503,'Weekly Purchases'!$B$2:$B$503,"&lt;&gt;",'Weekly Purchases'!$B$2:$B$503,"&lt;="&amp;$A323)-SUMIFS('Weekly Purchases'!$O$2:$O$503,'Weekly Purchases'!$B$2:$B$503,"",'Weekly Purchases'!$A$2:$A$503,"&lt;="&amp;$A323))</f>
        <v/>
      </c>
      <c r="N323" s="8" t="str">
        <f t="shared" si="22"/>
        <v/>
      </c>
      <c r="O323" s="8" t="str">
        <f t="shared" si="23"/>
        <v/>
      </c>
      <c r="P323" s="4"/>
    </row>
    <row r="324" spans="1:16">
      <c r="A324" s="6"/>
      <c r="B324" s="7"/>
      <c r="C324" s="7"/>
      <c r="D324" s="8" t="str">
        <f t="shared" si="20"/>
        <v/>
      </c>
      <c r="E324" s="7"/>
      <c r="F324" s="7"/>
      <c r="G324" s="7"/>
      <c r="H324" s="7"/>
      <c r="I324" s="8" t="str">
        <f t="shared" si="21"/>
        <v/>
      </c>
      <c r="J324" s="8"/>
      <c r="K324" s="8"/>
      <c r="L324" s="8" t="str">
        <f>IF($A324="","",Settings!$B$3+SUMIFS($B$2:$B$495,$A$2:$A$495,"&lt;="&amp;$A324)-SUMIFS($J$2:$J$495,$A$2:$A$495,"&lt;="&amp;$A324)-SUMIFS('Weekly Purchases'!$N$2:$N$503,'Weekly Purchases'!$B$2:$B$503,"&lt;&gt;",'Weekly Purchases'!$B$2:$B$503,"&lt;="&amp;$A324)-SUMIFS('Weekly Purchases'!$N$2:$N$503,'Weekly Purchases'!$B$2:$B$503,"",'Weekly Purchases'!$A$2:$A$503,"&lt;="&amp;$A324))</f>
        <v/>
      </c>
      <c r="M324" s="8" t="str">
        <f>IF($A324="","",Settings!$B$4+SUMIFS($C$2:$C$495,$A$2:$A$495,"&lt;="&amp;$A324)-SUMIFS($K$2:$K$495,$A$2:$A$495,"&lt;="&amp;$A324)-SUMIFS('Weekly Purchases'!$O$2:$O$503,'Weekly Purchases'!$B$2:$B$503,"&lt;&gt;",'Weekly Purchases'!$B$2:$B$503,"&lt;="&amp;$A324)-SUMIFS('Weekly Purchases'!$O$2:$O$503,'Weekly Purchases'!$B$2:$B$503,"",'Weekly Purchases'!$A$2:$A$503,"&lt;="&amp;$A324))</f>
        <v/>
      </c>
      <c r="N324" s="8" t="str">
        <f t="shared" si="22"/>
        <v/>
      </c>
      <c r="O324" s="8" t="str">
        <f t="shared" si="23"/>
        <v/>
      </c>
      <c r="P324" s="4"/>
    </row>
    <row r="325" spans="1:16">
      <c r="A325" s="6"/>
      <c r="B325" s="7"/>
      <c r="C325" s="7"/>
      <c r="D325" s="8" t="str">
        <f t="shared" si="20"/>
        <v/>
      </c>
      <c r="E325" s="7"/>
      <c r="F325" s="7"/>
      <c r="G325" s="7"/>
      <c r="H325" s="7"/>
      <c r="I325" s="8" t="str">
        <f t="shared" si="21"/>
        <v/>
      </c>
      <c r="J325" s="8"/>
      <c r="K325" s="8"/>
      <c r="L325" s="8" t="str">
        <f>IF($A325="","",Settings!$B$3+SUMIFS($B$2:$B$495,$A$2:$A$495,"&lt;="&amp;$A325)-SUMIFS($J$2:$J$495,$A$2:$A$495,"&lt;="&amp;$A325)-SUMIFS('Weekly Purchases'!$N$2:$N$503,'Weekly Purchases'!$B$2:$B$503,"&lt;&gt;",'Weekly Purchases'!$B$2:$B$503,"&lt;="&amp;$A325)-SUMIFS('Weekly Purchases'!$N$2:$N$503,'Weekly Purchases'!$B$2:$B$503,"",'Weekly Purchases'!$A$2:$A$503,"&lt;="&amp;$A325))</f>
        <v/>
      </c>
      <c r="M325" s="8" t="str">
        <f>IF($A325="","",Settings!$B$4+SUMIFS($C$2:$C$495,$A$2:$A$495,"&lt;="&amp;$A325)-SUMIFS($K$2:$K$495,$A$2:$A$495,"&lt;="&amp;$A325)-SUMIFS('Weekly Purchases'!$O$2:$O$503,'Weekly Purchases'!$B$2:$B$503,"&lt;&gt;",'Weekly Purchases'!$B$2:$B$503,"&lt;="&amp;$A325)-SUMIFS('Weekly Purchases'!$O$2:$O$503,'Weekly Purchases'!$B$2:$B$503,"",'Weekly Purchases'!$A$2:$A$503,"&lt;="&amp;$A325))</f>
        <v/>
      </c>
      <c r="N325" s="8" t="str">
        <f t="shared" si="22"/>
        <v/>
      </c>
      <c r="O325" s="8" t="str">
        <f t="shared" si="23"/>
        <v/>
      </c>
      <c r="P325" s="4"/>
    </row>
    <row r="326" spans="1:16">
      <c r="A326" s="6"/>
      <c r="B326" s="7"/>
      <c r="C326" s="7"/>
      <c r="D326" s="8" t="str">
        <f t="shared" si="20"/>
        <v/>
      </c>
      <c r="E326" s="7"/>
      <c r="F326" s="7"/>
      <c r="G326" s="7"/>
      <c r="H326" s="7"/>
      <c r="I326" s="8" t="str">
        <f t="shared" si="21"/>
        <v/>
      </c>
      <c r="J326" s="8"/>
      <c r="K326" s="8"/>
      <c r="L326" s="8" t="str">
        <f>IF($A326="","",Settings!$B$3+SUMIFS($B$2:$B$495,$A$2:$A$495,"&lt;="&amp;$A326)-SUMIFS($J$2:$J$495,$A$2:$A$495,"&lt;="&amp;$A326)-SUMIFS('Weekly Purchases'!$N$2:$N$503,'Weekly Purchases'!$B$2:$B$503,"&lt;&gt;",'Weekly Purchases'!$B$2:$B$503,"&lt;="&amp;$A326)-SUMIFS('Weekly Purchases'!$N$2:$N$503,'Weekly Purchases'!$B$2:$B$503,"",'Weekly Purchases'!$A$2:$A$503,"&lt;="&amp;$A326))</f>
        <v/>
      </c>
      <c r="M326" s="8" t="str">
        <f>IF($A326="","",Settings!$B$4+SUMIFS($C$2:$C$495,$A$2:$A$495,"&lt;="&amp;$A326)-SUMIFS($K$2:$K$495,$A$2:$A$495,"&lt;="&amp;$A326)-SUMIFS('Weekly Purchases'!$O$2:$O$503,'Weekly Purchases'!$B$2:$B$503,"&lt;&gt;",'Weekly Purchases'!$B$2:$B$503,"&lt;="&amp;$A326)-SUMIFS('Weekly Purchases'!$O$2:$O$503,'Weekly Purchases'!$B$2:$B$503,"",'Weekly Purchases'!$A$2:$A$503,"&lt;="&amp;$A326))</f>
        <v/>
      </c>
      <c r="N326" s="8" t="str">
        <f t="shared" si="22"/>
        <v/>
      </c>
      <c r="O326" s="8" t="str">
        <f t="shared" si="23"/>
        <v/>
      </c>
      <c r="P326" s="4"/>
    </row>
    <row r="327" spans="1:16">
      <c r="A327" s="6"/>
      <c r="B327" s="7"/>
      <c r="C327" s="7"/>
      <c r="D327" s="8" t="str">
        <f t="shared" si="20"/>
        <v/>
      </c>
      <c r="E327" s="7"/>
      <c r="F327" s="7"/>
      <c r="G327" s="7"/>
      <c r="H327" s="7"/>
      <c r="I327" s="8" t="str">
        <f t="shared" si="21"/>
        <v/>
      </c>
      <c r="J327" s="8"/>
      <c r="K327" s="8"/>
      <c r="L327" s="8" t="str">
        <f>IF($A327="","",Settings!$B$3+SUMIFS($B$2:$B$495,$A$2:$A$495,"&lt;="&amp;$A327)-SUMIFS($J$2:$J$495,$A$2:$A$495,"&lt;="&amp;$A327)-SUMIFS('Weekly Purchases'!$N$2:$N$503,'Weekly Purchases'!$B$2:$B$503,"&lt;&gt;",'Weekly Purchases'!$B$2:$B$503,"&lt;="&amp;$A327)-SUMIFS('Weekly Purchases'!$N$2:$N$503,'Weekly Purchases'!$B$2:$B$503,"",'Weekly Purchases'!$A$2:$A$503,"&lt;="&amp;$A327))</f>
        <v/>
      </c>
      <c r="M327" s="8" t="str">
        <f>IF($A327="","",Settings!$B$4+SUMIFS($C$2:$C$495,$A$2:$A$495,"&lt;="&amp;$A327)-SUMIFS($K$2:$K$495,$A$2:$A$495,"&lt;="&amp;$A327)-SUMIFS('Weekly Purchases'!$O$2:$O$503,'Weekly Purchases'!$B$2:$B$503,"&lt;&gt;",'Weekly Purchases'!$B$2:$B$503,"&lt;="&amp;$A327)-SUMIFS('Weekly Purchases'!$O$2:$O$503,'Weekly Purchases'!$B$2:$B$503,"",'Weekly Purchases'!$A$2:$A$503,"&lt;="&amp;$A327))</f>
        <v/>
      </c>
      <c r="N327" s="8" t="str">
        <f t="shared" si="22"/>
        <v/>
      </c>
      <c r="O327" s="8" t="str">
        <f t="shared" si="23"/>
        <v/>
      </c>
      <c r="P327" s="4"/>
    </row>
    <row r="328" spans="1:16">
      <c r="A328" s="6"/>
      <c r="B328" s="7"/>
      <c r="C328" s="7"/>
      <c r="D328" s="8" t="str">
        <f t="shared" si="20"/>
        <v/>
      </c>
      <c r="E328" s="7"/>
      <c r="F328" s="7"/>
      <c r="G328" s="7"/>
      <c r="H328" s="7"/>
      <c r="I328" s="8" t="str">
        <f t="shared" si="21"/>
        <v/>
      </c>
      <c r="J328" s="8"/>
      <c r="K328" s="8"/>
      <c r="L328" s="8" t="str">
        <f>IF($A328="","",Settings!$B$3+SUMIFS($B$2:$B$495,$A$2:$A$495,"&lt;="&amp;$A328)-SUMIFS($J$2:$J$495,$A$2:$A$495,"&lt;="&amp;$A328)-SUMIFS('Weekly Purchases'!$N$2:$N$503,'Weekly Purchases'!$B$2:$B$503,"&lt;&gt;",'Weekly Purchases'!$B$2:$B$503,"&lt;="&amp;$A328)-SUMIFS('Weekly Purchases'!$N$2:$N$503,'Weekly Purchases'!$B$2:$B$503,"",'Weekly Purchases'!$A$2:$A$503,"&lt;="&amp;$A328))</f>
        <v/>
      </c>
      <c r="M328" s="8" t="str">
        <f>IF($A328="","",Settings!$B$4+SUMIFS($C$2:$C$495,$A$2:$A$495,"&lt;="&amp;$A328)-SUMIFS($K$2:$K$495,$A$2:$A$495,"&lt;="&amp;$A328)-SUMIFS('Weekly Purchases'!$O$2:$O$503,'Weekly Purchases'!$B$2:$B$503,"&lt;&gt;",'Weekly Purchases'!$B$2:$B$503,"&lt;="&amp;$A328)-SUMIFS('Weekly Purchases'!$O$2:$O$503,'Weekly Purchases'!$B$2:$B$503,"",'Weekly Purchases'!$A$2:$A$503,"&lt;="&amp;$A328))</f>
        <v/>
      </c>
      <c r="N328" s="8" t="str">
        <f t="shared" si="22"/>
        <v/>
      </c>
      <c r="O328" s="8" t="str">
        <f t="shared" si="23"/>
        <v/>
      </c>
      <c r="P328" s="4"/>
    </row>
    <row r="329" spans="1:16">
      <c r="A329" s="6"/>
      <c r="B329" s="7"/>
      <c r="C329" s="7"/>
      <c r="D329" s="8" t="str">
        <f t="shared" si="20"/>
        <v/>
      </c>
      <c r="E329" s="7"/>
      <c r="F329" s="7"/>
      <c r="G329" s="7"/>
      <c r="H329" s="7"/>
      <c r="I329" s="8" t="str">
        <f t="shared" si="21"/>
        <v/>
      </c>
      <c r="J329" s="8"/>
      <c r="K329" s="8"/>
      <c r="L329" s="8" t="str">
        <f>IF($A329="","",Settings!$B$3+SUMIFS($B$2:$B$495,$A$2:$A$495,"&lt;="&amp;$A329)-SUMIFS($J$2:$J$495,$A$2:$A$495,"&lt;="&amp;$A329)-SUMIFS('Weekly Purchases'!$N$2:$N$503,'Weekly Purchases'!$B$2:$B$503,"&lt;&gt;",'Weekly Purchases'!$B$2:$B$503,"&lt;="&amp;$A329)-SUMIFS('Weekly Purchases'!$N$2:$N$503,'Weekly Purchases'!$B$2:$B$503,"",'Weekly Purchases'!$A$2:$A$503,"&lt;="&amp;$A329))</f>
        <v/>
      </c>
      <c r="M329" s="8" t="str">
        <f>IF($A329="","",Settings!$B$4+SUMIFS($C$2:$C$495,$A$2:$A$495,"&lt;="&amp;$A329)-SUMIFS($K$2:$K$495,$A$2:$A$495,"&lt;="&amp;$A329)-SUMIFS('Weekly Purchases'!$O$2:$O$503,'Weekly Purchases'!$B$2:$B$503,"&lt;&gt;",'Weekly Purchases'!$B$2:$B$503,"&lt;="&amp;$A329)-SUMIFS('Weekly Purchases'!$O$2:$O$503,'Weekly Purchases'!$B$2:$B$503,"",'Weekly Purchases'!$A$2:$A$503,"&lt;="&amp;$A329))</f>
        <v/>
      </c>
      <c r="N329" s="8" t="str">
        <f t="shared" si="22"/>
        <v/>
      </c>
      <c r="O329" s="8" t="str">
        <f t="shared" si="23"/>
        <v/>
      </c>
      <c r="P329" s="4"/>
    </row>
    <row r="330" spans="1:16">
      <c r="A330" s="6"/>
      <c r="B330" s="7"/>
      <c r="C330" s="7"/>
      <c r="D330" s="8" t="str">
        <f t="shared" si="20"/>
        <v/>
      </c>
      <c r="E330" s="7"/>
      <c r="F330" s="7"/>
      <c r="G330" s="7"/>
      <c r="H330" s="7"/>
      <c r="I330" s="8" t="str">
        <f t="shared" si="21"/>
        <v/>
      </c>
      <c r="J330" s="8"/>
      <c r="K330" s="8"/>
      <c r="L330" s="8" t="str">
        <f>IF($A330="","",Settings!$B$3+SUMIFS($B$2:$B$495,$A$2:$A$495,"&lt;="&amp;$A330)-SUMIFS($J$2:$J$495,$A$2:$A$495,"&lt;="&amp;$A330)-SUMIFS('Weekly Purchases'!$N$2:$N$503,'Weekly Purchases'!$B$2:$B$503,"&lt;&gt;",'Weekly Purchases'!$B$2:$B$503,"&lt;="&amp;$A330)-SUMIFS('Weekly Purchases'!$N$2:$N$503,'Weekly Purchases'!$B$2:$B$503,"",'Weekly Purchases'!$A$2:$A$503,"&lt;="&amp;$A330))</f>
        <v/>
      </c>
      <c r="M330" s="8" t="str">
        <f>IF($A330="","",Settings!$B$4+SUMIFS($C$2:$C$495,$A$2:$A$495,"&lt;="&amp;$A330)-SUMIFS($K$2:$K$495,$A$2:$A$495,"&lt;="&amp;$A330)-SUMIFS('Weekly Purchases'!$O$2:$O$503,'Weekly Purchases'!$B$2:$B$503,"&lt;&gt;",'Weekly Purchases'!$B$2:$B$503,"&lt;="&amp;$A330)-SUMIFS('Weekly Purchases'!$O$2:$O$503,'Weekly Purchases'!$B$2:$B$503,"",'Weekly Purchases'!$A$2:$A$503,"&lt;="&amp;$A330))</f>
        <v/>
      </c>
      <c r="N330" s="8" t="str">
        <f t="shared" si="22"/>
        <v/>
      </c>
      <c r="O330" s="8" t="str">
        <f t="shared" si="23"/>
        <v/>
      </c>
      <c r="P330" s="4"/>
    </row>
    <row r="331" spans="1:16">
      <c r="A331" s="6"/>
      <c r="B331" s="7"/>
      <c r="C331" s="7"/>
      <c r="D331" s="8" t="str">
        <f t="shared" si="20"/>
        <v/>
      </c>
      <c r="E331" s="7"/>
      <c r="F331" s="7"/>
      <c r="G331" s="7"/>
      <c r="H331" s="7"/>
      <c r="I331" s="8" t="str">
        <f t="shared" si="21"/>
        <v/>
      </c>
      <c r="J331" s="8"/>
      <c r="K331" s="8"/>
      <c r="L331" s="8" t="str">
        <f>IF($A331="","",Settings!$B$3+SUMIFS($B$2:$B$495,$A$2:$A$495,"&lt;="&amp;$A331)-SUMIFS($J$2:$J$495,$A$2:$A$495,"&lt;="&amp;$A331)-SUMIFS('Weekly Purchases'!$N$2:$N$503,'Weekly Purchases'!$B$2:$B$503,"&lt;&gt;",'Weekly Purchases'!$B$2:$B$503,"&lt;="&amp;$A331)-SUMIFS('Weekly Purchases'!$N$2:$N$503,'Weekly Purchases'!$B$2:$B$503,"",'Weekly Purchases'!$A$2:$A$503,"&lt;="&amp;$A331))</f>
        <v/>
      </c>
      <c r="M331" s="8" t="str">
        <f>IF($A331="","",Settings!$B$4+SUMIFS($C$2:$C$495,$A$2:$A$495,"&lt;="&amp;$A331)-SUMIFS($K$2:$K$495,$A$2:$A$495,"&lt;="&amp;$A331)-SUMIFS('Weekly Purchases'!$O$2:$O$503,'Weekly Purchases'!$B$2:$B$503,"&lt;&gt;",'Weekly Purchases'!$B$2:$B$503,"&lt;="&amp;$A331)-SUMIFS('Weekly Purchases'!$O$2:$O$503,'Weekly Purchases'!$B$2:$B$503,"",'Weekly Purchases'!$A$2:$A$503,"&lt;="&amp;$A331))</f>
        <v/>
      </c>
      <c r="N331" s="8" t="str">
        <f t="shared" si="22"/>
        <v/>
      </c>
      <c r="O331" s="8" t="str">
        <f t="shared" si="23"/>
        <v/>
      </c>
      <c r="P331" s="4"/>
    </row>
    <row r="332" spans="1:16">
      <c r="A332" s="6"/>
      <c r="B332" s="7"/>
      <c r="C332" s="7"/>
      <c r="D332" s="8" t="str">
        <f t="shared" si="20"/>
        <v/>
      </c>
      <c r="E332" s="7"/>
      <c r="F332" s="7"/>
      <c r="G332" s="7"/>
      <c r="H332" s="7"/>
      <c r="I332" s="8" t="str">
        <f t="shared" si="21"/>
        <v/>
      </c>
      <c r="J332" s="8"/>
      <c r="K332" s="8"/>
      <c r="L332" s="8" t="str">
        <f>IF($A332="","",Settings!$B$3+SUMIFS($B$2:$B$495,$A$2:$A$495,"&lt;="&amp;$A332)-SUMIFS($J$2:$J$495,$A$2:$A$495,"&lt;="&amp;$A332)-SUMIFS('Weekly Purchases'!$N$2:$N$503,'Weekly Purchases'!$B$2:$B$503,"&lt;&gt;",'Weekly Purchases'!$B$2:$B$503,"&lt;="&amp;$A332)-SUMIFS('Weekly Purchases'!$N$2:$N$503,'Weekly Purchases'!$B$2:$B$503,"",'Weekly Purchases'!$A$2:$A$503,"&lt;="&amp;$A332))</f>
        <v/>
      </c>
      <c r="M332" s="8" t="str">
        <f>IF($A332="","",Settings!$B$4+SUMIFS($C$2:$C$495,$A$2:$A$495,"&lt;="&amp;$A332)-SUMIFS($K$2:$K$495,$A$2:$A$495,"&lt;="&amp;$A332)-SUMIFS('Weekly Purchases'!$O$2:$O$503,'Weekly Purchases'!$B$2:$B$503,"&lt;&gt;",'Weekly Purchases'!$B$2:$B$503,"&lt;="&amp;$A332)-SUMIFS('Weekly Purchases'!$O$2:$O$503,'Weekly Purchases'!$B$2:$B$503,"",'Weekly Purchases'!$A$2:$A$503,"&lt;="&amp;$A332))</f>
        <v/>
      </c>
      <c r="N332" s="8" t="str">
        <f t="shared" si="22"/>
        <v/>
      </c>
      <c r="O332" s="8" t="str">
        <f t="shared" si="23"/>
        <v/>
      </c>
      <c r="P332" s="4"/>
    </row>
    <row r="333" spans="1:16">
      <c r="A333" s="6"/>
      <c r="B333" s="7"/>
      <c r="C333" s="7"/>
      <c r="D333" s="8" t="str">
        <f t="shared" si="20"/>
        <v/>
      </c>
      <c r="E333" s="7"/>
      <c r="F333" s="7"/>
      <c r="G333" s="7"/>
      <c r="H333" s="7"/>
      <c r="I333" s="8" t="str">
        <f t="shared" si="21"/>
        <v/>
      </c>
      <c r="J333" s="8"/>
      <c r="K333" s="8"/>
      <c r="L333" s="8" t="str">
        <f>IF($A333="","",Settings!$B$3+SUMIFS($B$2:$B$495,$A$2:$A$495,"&lt;="&amp;$A333)-SUMIFS($J$2:$J$495,$A$2:$A$495,"&lt;="&amp;$A333)-SUMIFS('Weekly Purchases'!$N$2:$N$503,'Weekly Purchases'!$B$2:$B$503,"&lt;&gt;",'Weekly Purchases'!$B$2:$B$503,"&lt;="&amp;$A333)-SUMIFS('Weekly Purchases'!$N$2:$N$503,'Weekly Purchases'!$B$2:$B$503,"",'Weekly Purchases'!$A$2:$A$503,"&lt;="&amp;$A333))</f>
        <v/>
      </c>
      <c r="M333" s="8" t="str">
        <f>IF($A333="","",Settings!$B$4+SUMIFS($C$2:$C$495,$A$2:$A$495,"&lt;="&amp;$A333)-SUMIFS($K$2:$K$495,$A$2:$A$495,"&lt;="&amp;$A333)-SUMIFS('Weekly Purchases'!$O$2:$O$503,'Weekly Purchases'!$B$2:$B$503,"&lt;&gt;",'Weekly Purchases'!$B$2:$B$503,"&lt;="&amp;$A333)-SUMIFS('Weekly Purchases'!$O$2:$O$503,'Weekly Purchases'!$B$2:$B$503,"",'Weekly Purchases'!$A$2:$A$503,"&lt;="&amp;$A333))</f>
        <v/>
      </c>
      <c r="N333" s="8" t="str">
        <f t="shared" si="22"/>
        <v/>
      </c>
      <c r="O333" s="8" t="str">
        <f t="shared" si="23"/>
        <v/>
      </c>
      <c r="P333" s="4"/>
    </row>
    <row r="334" spans="1:16">
      <c r="A334" s="6"/>
      <c r="B334" s="7"/>
      <c r="C334" s="7"/>
      <c r="D334" s="8" t="str">
        <f t="shared" si="20"/>
        <v/>
      </c>
      <c r="E334" s="7"/>
      <c r="F334" s="7"/>
      <c r="G334" s="7"/>
      <c r="H334" s="7"/>
      <c r="I334" s="8" t="str">
        <f t="shared" si="21"/>
        <v/>
      </c>
      <c r="J334" s="8"/>
      <c r="K334" s="8"/>
      <c r="L334" s="8" t="str">
        <f>IF($A334="","",Settings!$B$3+SUMIFS($B$2:$B$495,$A$2:$A$495,"&lt;="&amp;$A334)-SUMIFS($J$2:$J$495,$A$2:$A$495,"&lt;="&amp;$A334)-SUMIFS('Weekly Purchases'!$N$2:$N$503,'Weekly Purchases'!$B$2:$B$503,"&lt;&gt;",'Weekly Purchases'!$B$2:$B$503,"&lt;="&amp;$A334)-SUMIFS('Weekly Purchases'!$N$2:$N$503,'Weekly Purchases'!$B$2:$B$503,"",'Weekly Purchases'!$A$2:$A$503,"&lt;="&amp;$A334))</f>
        <v/>
      </c>
      <c r="M334" s="8" t="str">
        <f>IF($A334="","",Settings!$B$4+SUMIFS($C$2:$C$495,$A$2:$A$495,"&lt;="&amp;$A334)-SUMIFS($K$2:$K$495,$A$2:$A$495,"&lt;="&amp;$A334)-SUMIFS('Weekly Purchases'!$O$2:$O$503,'Weekly Purchases'!$B$2:$B$503,"&lt;&gt;",'Weekly Purchases'!$B$2:$B$503,"&lt;="&amp;$A334)-SUMIFS('Weekly Purchases'!$O$2:$O$503,'Weekly Purchases'!$B$2:$B$503,"",'Weekly Purchases'!$A$2:$A$503,"&lt;="&amp;$A334))</f>
        <v/>
      </c>
      <c r="N334" s="8" t="str">
        <f t="shared" si="22"/>
        <v/>
      </c>
      <c r="O334" s="8" t="str">
        <f t="shared" si="23"/>
        <v/>
      </c>
      <c r="P334" s="4"/>
    </row>
    <row r="335" spans="1:16">
      <c r="A335" s="6"/>
      <c r="B335" s="7"/>
      <c r="C335" s="7"/>
      <c r="D335" s="8" t="str">
        <f t="shared" si="20"/>
        <v/>
      </c>
      <c r="E335" s="7"/>
      <c r="F335" s="7"/>
      <c r="G335" s="7"/>
      <c r="H335" s="7"/>
      <c r="I335" s="8" t="str">
        <f t="shared" si="21"/>
        <v/>
      </c>
      <c r="J335" s="8"/>
      <c r="K335" s="8"/>
      <c r="L335" s="8" t="str">
        <f>IF($A335="","",Settings!$B$3+SUMIFS($B$2:$B$495,$A$2:$A$495,"&lt;="&amp;$A335)-SUMIFS($J$2:$J$495,$A$2:$A$495,"&lt;="&amp;$A335)-SUMIFS('Weekly Purchases'!$N$2:$N$503,'Weekly Purchases'!$B$2:$B$503,"&lt;&gt;",'Weekly Purchases'!$B$2:$B$503,"&lt;="&amp;$A335)-SUMIFS('Weekly Purchases'!$N$2:$N$503,'Weekly Purchases'!$B$2:$B$503,"",'Weekly Purchases'!$A$2:$A$503,"&lt;="&amp;$A335))</f>
        <v/>
      </c>
      <c r="M335" s="8" t="str">
        <f>IF($A335="","",Settings!$B$4+SUMIFS($C$2:$C$495,$A$2:$A$495,"&lt;="&amp;$A335)-SUMIFS($K$2:$K$495,$A$2:$A$495,"&lt;="&amp;$A335)-SUMIFS('Weekly Purchases'!$O$2:$O$503,'Weekly Purchases'!$B$2:$B$503,"&lt;&gt;",'Weekly Purchases'!$B$2:$B$503,"&lt;="&amp;$A335)-SUMIFS('Weekly Purchases'!$O$2:$O$503,'Weekly Purchases'!$B$2:$B$503,"",'Weekly Purchases'!$A$2:$A$503,"&lt;="&amp;$A335))</f>
        <v/>
      </c>
      <c r="N335" s="8" t="str">
        <f t="shared" si="22"/>
        <v/>
      </c>
      <c r="O335" s="8" t="str">
        <f t="shared" si="23"/>
        <v/>
      </c>
      <c r="P335" s="4"/>
    </row>
    <row r="336" spans="1:16">
      <c r="A336" s="6"/>
      <c r="B336" s="7"/>
      <c r="C336" s="7"/>
      <c r="D336" s="8" t="str">
        <f t="shared" si="20"/>
        <v/>
      </c>
      <c r="E336" s="7"/>
      <c r="F336" s="7"/>
      <c r="G336" s="7"/>
      <c r="H336" s="7"/>
      <c r="I336" s="8" t="str">
        <f t="shared" si="21"/>
        <v/>
      </c>
      <c r="J336" s="8"/>
      <c r="K336" s="8"/>
      <c r="L336" s="8" t="str">
        <f>IF($A336="","",Settings!$B$3+SUMIFS($B$2:$B$495,$A$2:$A$495,"&lt;="&amp;$A336)-SUMIFS($J$2:$J$495,$A$2:$A$495,"&lt;="&amp;$A336)-SUMIFS('Weekly Purchases'!$N$2:$N$503,'Weekly Purchases'!$B$2:$B$503,"&lt;&gt;",'Weekly Purchases'!$B$2:$B$503,"&lt;="&amp;$A336)-SUMIFS('Weekly Purchases'!$N$2:$N$503,'Weekly Purchases'!$B$2:$B$503,"",'Weekly Purchases'!$A$2:$A$503,"&lt;="&amp;$A336))</f>
        <v/>
      </c>
      <c r="M336" s="8" t="str">
        <f>IF($A336="","",Settings!$B$4+SUMIFS($C$2:$C$495,$A$2:$A$495,"&lt;="&amp;$A336)-SUMIFS($K$2:$K$495,$A$2:$A$495,"&lt;="&amp;$A336)-SUMIFS('Weekly Purchases'!$O$2:$O$503,'Weekly Purchases'!$B$2:$B$503,"&lt;&gt;",'Weekly Purchases'!$B$2:$B$503,"&lt;="&amp;$A336)-SUMIFS('Weekly Purchases'!$O$2:$O$503,'Weekly Purchases'!$B$2:$B$503,"",'Weekly Purchases'!$A$2:$A$503,"&lt;="&amp;$A336))</f>
        <v/>
      </c>
      <c r="N336" s="8" t="str">
        <f t="shared" si="22"/>
        <v/>
      </c>
      <c r="O336" s="8" t="str">
        <f t="shared" si="23"/>
        <v/>
      </c>
      <c r="P336" s="4"/>
    </row>
    <row r="337" spans="1:16">
      <c r="A337" s="6"/>
      <c r="B337" s="7"/>
      <c r="C337" s="7"/>
      <c r="D337" s="8" t="str">
        <f t="shared" si="20"/>
        <v/>
      </c>
      <c r="E337" s="7"/>
      <c r="F337" s="7"/>
      <c r="G337" s="7"/>
      <c r="H337" s="7"/>
      <c r="I337" s="8" t="str">
        <f t="shared" si="21"/>
        <v/>
      </c>
      <c r="J337" s="8"/>
      <c r="K337" s="8"/>
      <c r="L337" s="8" t="str">
        <f>IF($A337="","",Settings!$B$3+SUMIFS($B$2:$B$495,$A$2:$A$495,"&lt;="&amp;$A337)-SUMIFS($J$2:$J$495,$A$2:$A$495,"&lt;="&amp;$A337)-SUMIFS('Weekly Purchases'!$N$2:$N$503,'Weekly Purchases'!$B$2:$B$503,"&lt;&gt;",'Weekly Purchases'!$B$2:$B$503,"&lt;="&amp;$A337)-SUMIFS('Weekly Purchases'!$N$2:$N$503,'Weekly Purchases'!$B$2:$B$503,"",'Weekly Purchases'!$A$2:$A$503,"&lt;="&amp;$A337))</f>
        <v/>
      </c>
      <c r="M337" s="8" t="str">
        <f>IF($A337="","",Settings!$B$4+SUMIFS($C$2:$C$495,$A$2:$A$495,"&lt;="&amp;$A337)-SUMIFS($K$2:$K$495,$A$2:$A$495,"&lt;="&amp;$A337)-SUMIFS('Weekly Purchases'!$O$2:$O$503,'Weekly Purchases'!$B$2:$B$503,"&lt;&gt;",'Weekly Purchases'!$B$2:$B$503,"&lt;="&amp;$A337)-SUMIFS('Weekly Purchases'!$O$2:$O$503,'Weekly Purchases'!$B$2:$B$503,"",'Weekly Purchases'!$A$2:$A$503,"&lt;="&amp;$A337))</f>
        <v/>
      </c>
      <c r="N337" s="8" t="str">
        <f t="shared" si="22"/>
        <v/>
      </c>
      <c r="O337" s="8" t="str">
        <f t="shared" si="23"/>
        <v/>
      </c>
      <c r="P337" s="4"/>
    </row>
    <row r="338" spans="1:16">
      <c r="A338" s="6"/>
      <c r="B338" s="7"/>
      <c r="C338" s="7"/>
      <c r="D338" s="8" t="str">
        <f t="shared" si="20"/>
        <v/>
      </c>
      <c r="E338" s="7"/>
      <c r="F338" s="7"/>
      <c r="G338" s="7"/>
      <c r="H338" s="7"/>
      <c r="I338" s="8" t="str">
        <f t="shared" si="21"/>
        <v/>
      </c>
      <c r="J338" s="8"/>
      <c r="K338" s="8"/>
      <c r="L338" s="8" t="str">
        <f>IF($A338="","",Settings!$B$3+SUMIFS($B$2:$B$495,$A$2:$A$495,"&lt;="&amp;$A338)-SUMIFS($J$2:$J$495,$A$2:$A$495,"&lt;="&amp;$A338)-SUMIFS('Weekly Purchases'!$N$2:$N$503,'Weekly Purchases'!$B$2:$B$503,"&lt;&gt;",'Weekly Purchases'!$B$2:$B$503,"&lt;="&amp;$A338)-SUMIFS('Weekly Purchases'!$N$2:$N$503,'Weekly Purchases'!$B$2:$B$503,"",'Weekly Purchases'!$A$2:$A$503,"&lt;="&amp;$A338))</f>
        <v/>
      </c>
      <c r="M338" s="8" t="str">
        <f>IF($A338="","",Settings!$B$4+SUMIFS($C$2:$C$495,$A$2:$A$495,"&lt;="&amp;$A338)-SUMIFS($K$2:$K$495,$A$2:$A$495,"&lt;="&amp;$A338)-SUMIFS('Weekly Purchases'!$O$2:$O$503,'Weekly Purchases'!$B$2:$B$503,"&lt;&gt;",'Weekly Purchases'!$B$2:$B$503,"&lt;="&amp;$A338)-SUMIFS('Weekly Purchases'!$O$2:$O$503,'Weekly Purchases'!$B$2:$B$503,"",'Weekly Purchases'!$A$2:$A$503,"&lt;="&amp;$A338))</f>
        <v/>
      </c>
      <c r="N338" s="8" t="str">
        <f t="shared" si="22"/>
        <v/>
      </c>
      <c r="O338" s="8" t="str">
        <f t="shared" si="23"/>
        <v/>
      </c>
      <c r="P338" s="4"/>
    </row>
    <row r="339" spans="1:16">
      <c r="A339" s="6"/>
      <c r="B339" s="7"/>
      <c r="C339" s="7"/>
      <c r="D339" s="8" t="str">
        <f t="shared" si="20"/>
        <v/>
      </c>
      <c r="E339" s="7"/>
      <c r="F339" s="7"/>
      <c r="G339" s="7"/>
      <c r="H339" s="7"/>
      <c r="I339" s="8" t="str">
        <f t="shared" si="21"/>
        <v/>
      </c>
      <c r="J339" s="8"/>
      <c r="K339" s="8"/>
      <c r="L339" s="8" t="str">
        <f>IF($A339="","",Settings!$B$3+SUMIFS($B$2:$B$495,$A$2:$A$495,"&lt;="&amp;$A339)-SUMIFS($J$2:$J$495,$A$2:$A$495,"&lt;="&amp;$A339)-SUMIFS('Weekly Purchases'!$N$2:$N$503,'Weekly Purchases'!$B$2:$B$503,"&lt;&gt;",'Weekly Purchases'!$B$2:$B$503,"&lt;="&amp;$A339)-SUMIFS('Weekly Purchases'!$N$2:$N$503,'Weekly Purchases'!$B$2:$B$503,"",'Weekly Purchases'!$A$2:$A$503,"&lt;="&amp;$A339))</f>
        <v/>
      </c>
      <c r="M339" s="8" t="str">
        <f>IF($A339="","",Settings!$B$4+SUMIFS($C$2:$C$495,$A$2:$A$495,"&lt;="&amp;$A339)-SUMIFS($K$2:$K$495,$A$2:$A$495,"&lt;="&amp;$A339)-SUMIFS('Weekly Purchases'!$O$2:$O$503,'Weekly Purchases'!$B$2:$B$503,"&lt;&gt;",'Weekly Purchases'!$B$2:$B$503,"&lt;="&amp;$A339)-SUMIFS('Weekly Purchases'!$O$2:$O$503,'Weekly Purchases'!$B$2:$B$503,"",'Weekly Purchases'!$A$2:$A$503,"&lt;="&amp;$A339))</f>
        <v/>
      </c>
      <c r="N339" s="8" t="str">
        <f t="shared" si="22"/>
        <v/>
      </c>
      <c r="O339" s="8" t="str">
        <f t="shared" si="23"/>
        <v/>
      </c>
      <c r="P339" s="4"/>
    </row>
    <row r="340" spans="1:16">
      <c r="A340" s="6"/>
      <c r="B340" s="7"/>
      <c r="C340" s="7"/>
      <c r="D340" s="8" t="str">
        <f t="shared" si="20"/>
        <v/>
      </c>
      <c r="E340" s="7"/>
      <c r="F340" s="7"/>
      <c r="G340" s="7"/>
      <c r="H340" s="7"/>
      <c r="I340" s="8" t="str">
        <f t="shared" si="21"/>
        <v/>
      </c>
      <c r="J340" s="8"/>
      <c r="K340" s="8"/>
      <c r="L340" s="8" t="str">
        <f>IF($A340="","",Settings!$B$3+SUMIFS($B$2:$B$495,$A$2:$A$495,"&lt;="&amp;$A340)-SUMIFS($J$2:$J$495,$A$2:$A$495,"&lt;="&amp;$A340)-SUMIFS('Weekly Purchases'!$N$2:$N$503,'Weekly Purchases'!$B$2:$B$503,"&lt;&gt;",'Weekly Purchases'!$B$2:$B$503,"&lt;="&amp;$A340)-SUMIFS('Weekly Purchases'!$N$2:$N$503,'Weekly Purchases'!$B$2:$B$503,"",'Weekly Purchases'!$A$2:$A$503,"&lt;="&amp;$A340))</f>
        <v/>
      </c>
      <c r="M340" s="8" t="str">
        <f>IF($A340="","",Settings!$B$4+SUMIFS($C$2:$C$495,$A$2:$A$495,"&lt;="&amp;$A340)-SUMIFS($K$2:$K$495,$A$2:$A$495,"&lt;="&amp;$A340)-SUMIFS('Weekly Purchases'!$O$2:$O$503,'Weekly Purchases'!$B$2:$B$503,"&lt;&gt;",'Weekly Purchases'!$B$2:$B$503,"&lt;="&amp;$A340)-SUMIFS('Weekly Purchases'!$O$2:$O$503,'Weekly Purchases'!$B$2:$B$503,"",'Weekly Purchases'!$A$2:$A$503,"&lt;="&amp;$A340))</f>
        <v/>
      </c>
      <c r="N340" s="8" t="str">
        <f t="shared" si="22"/>
        <v/>
      </c>
      <c r="O340" s="8" t="str">
        <f t="shared" si="23"/>
        <v/>
      </c>
      <c r="P340" s="4"/>
    </row>
    <row r="341" spans="1:16">
      <c r="A341" s="6"/>
      <c r="B341" s="7"/>
      <c r="C341" s="7"/>
      <c r="D341" s="8" t="str">
        <f t="shared" si="20"/>
        <v/>
      </c>
      <c r="E341" s="7"/>
      <c r="F341" s="7"/>
      <c r="G341" s="7"/>
      <c r="H341" s="7"/>
      <c r="I341" s="8" t="str">
        <f t="shared" si="21"/>
        <v/>
      </c>
      <c r="J341" s="8"/>
      <c r="K341" s="8"/>
      <c r="L341" s="8" t="str">
        <f>IF($A341="","",Settings!$B$3+SUMIFS($B$2:$B$495,$A$2:$A$495,"&lt;="&amp;$A341)-SUMIFS($J$2:$J$495,$A$2:$A$495,"&lt;="&amp;$A341)-SUMIFS('Weekly Purchases'!$N$2:$N$503,'Weekly Purchases'!$B$2:$B$503,"&lt;&gt;",'Weekly Purchases'!$B$2:$B$503,"&lt;="&amp;$A341)-SUMIFS('Weekly Purchases'!$N$2:$N$503,'Weekly Purchases'!$B$2:$B$503,"",'Weekly Purchases'!$A$2:$A$503,"&lt;="&amp;$A341))</f>
        <v/>
      </c>
      <c r="M341" s="8" t="str">
        <f>IF($A341="","",Settings!$B$4+SUMIFS($C$2:$C$495,$A$2:$A$495,"&lt;="&amp;$A341)-SUMIFS($K$2:$K$495,$A$2:$A$495,"&lt;="&amp;$A341)-SUMIFS('Weekly Purchases'!$O$2:$O$503,'Weekly Purchases'!$B$2:$B$503,"&lt;&gt;",'Weekly Purchases'!$B$2:$B$503,"&lt;="&amp;$A341)-SUMIFS('Weekly Purchases'!$O$2:$O$503,'Weekly Purchases'!$B$2:$B$503,"",'Weekly Purchases'!$A$2:$A$503,"&lt;="&amp;$A341))</f>
        <v/>
      </c>
      <c r="N341" s="8" t="str">
        <f t="shared" si="22"/>
        <v/>
      </c>
      <c r="O341" s="8" t="str">
        <f t="shared" si="23"/>
        <v/>
      </c>
      <c r="P341" s="4"/>
    </row>
    <row r="342" spans="1:16">
      <c r="A342" s="6"/>
      <c r="B342" s="7"/>
      <c r="C342" s="7"/>
      <c r="D342" s="8" t="str">
        <f t="shared" si="20"/>
        <v/>
      </c>
      <c r="E342" s="7"/>
      <c r="F342" s="7"/>
      <c r="G342" s="7"/>
      <c r="H342" s="7"/>
      <c r="I342" s="8" t="str">
        <f t="shared" si="21"/>
        <v/>
      </c>
      <c r="J342" s="8"/>
      <c r="K342" s="8"/>
      <c r="L342" s="8" t="str">
        <f>IF($A342="","",Settings!$B$3+SUMIFS($B$2:$B$495,$A$2:$A$495,"&lt;="&amp;$A342)-SUMIFS($J$2:$J$495,$A$2:$A$495,"&lt;="&amp;$A342)-SUMIFS('Weekly Purchases'!$N$2:$N$503,'Weekly Purchases'!$B$2:$B$503,"&lt;&gt;",'Weekly Purchases'!$B$2:$B$503,"&lt;="&amp;$A342)-SUMIFS('Weekly Purchases'!$N$2:$N$503,'Weekly Purchases'!$B$2:$B$503,"",'Weekly Purchases'!$A$2:$A$503,"&lt;="&amp;$A342))</f>
        <v/>
      </c>
      <c r="M342" s="8" t="str">
        <f>IF($A342="","",Settings!$B$4+SUMIFS($C$2:$C$495,$A$2:$A$495,"&lt;="&amp;$A342)-SUMIFS($K$2:$K$495,$A$2:$A$495,"&lt;="&amp;$A342)-SUMIFS('Weekly Purchases'!$O$2:$O$503,'Weekly Purchases'!$B$2:$B$503,"&lt;&gt;",'Weekly Purchases'!$B$2:$B$503,"&lt;="&amp;$A342)-SUMIFS('Weekly Purchases'!$O$2:$O$503,'Weekly Purchases'!$B$2:$B$503,"",'Weekly Purchases'!$A$2:$A$503,"&lt;="&amp;$A342))</f>
        <v/>
      </c>
      <c r="N342" s="8" t="str">
        <f t="shared" si="22"/>
        <v/>
      </c>
      <c r="O342" s="8" t="str">
        <f t="shared" si="23"/>
        <v/>
      </c>
      <c r="P342" s="4"/>
    </row>
    <row r="343" spans="1:16">
      <c r="A343" s="6"/>
      <c r="B343" s="7"/>
      <c r="C343" s="7"/>
      <c r="D343" s="8" t="str">
        <f t="shared" si="20"/>
        <v/>
      </c>
      <c r="E343" s="7"/>
      <c r="F343" s="7"/>
      <c r="G343" s="7"/>
      <c r="H343" s="7"/>
      <c r="I343" s="8" t="str">
        <f t="shared" si="21"/>
        <v/>
      </c>
      <c r="J343" s="8"/>
      <c r="K343" s="8"/>
      <c r="L343" s="8" t="str">
        <f>IF($A343="","",Settings!$B$3+SUMIFS($B$2:$B$495,$A$2:$A$495,"&lt;="&amp;$A343)-SUMIFS($J$2:$J$495,$A$2:$A$495,"&lt;="&amp;$A343)-SUMIFS('Weekly Purchases'!$N$2:$N$503,'Weekly Purchases'!$B$2:$B$503,"&lt;&gt;",'Weekly Purchases'!$B$2:$B$503,"&lt;="&amp;$A343)-SUMIFS('Weekly Purchases'!$N$2:$N$503,'Weekly Purchases'!$B$2:$B$503,"",'Weekly Purchases'!$A$2:$A$503,"&lt;="&amp;$A343))</f>
        <v/>
      </c>
      <c r="M343" s="8" t="str">
        <f>IF($A343="","",Settings!$B$4+SUMIFS($C$2:$C$495,$A$2:$A$495,"&lt;="&amp;$A343)-SUMIFS($K$2:$K$495,$A$2:$A$495,"&lt;="&amp;$A343)-SUMIFS('Weekly Purchases'!$O$2:$O$503,'Weekly Purchases'!$B$2:$B$503,"&lt;&gt;",'Weekly Purchases'!$B$2:$B$503,"&lt;="&amp;$A343)-SUMIFS('Weekly Purchases'!$O$2:$O$503,'Weekly Purchases'!$B$2:$B$503,"",'Weekly Purchases'!$A$2:$A$503,"&lt;="&amp;$A343))</f>
        <v/>
      </c>
      <c r="N343" s="8" t="str">
        <f t="shared" si="22"/>
        <v/>
      </c>
      <c r="O343" s="8" t="str">
        <f t="shared" si="23"/>
        <v/>
      </c>
      <c r="P343" s="4"/>
    </row>
    <row r="344" spans="1:16">
      <c r="A344" s="6"/>
      <c r="B344" s="7"/>
      <c r="C344" s="7"/>
      <c r="D344" s="8" t="str">
        <f t="shared" si="20"/>
        <v/>
      </c>
      <c r="E344" s="7"/>
      <c r="F344" s="7"/>
      <c r="G344" s="7"/>
      <c r="H344" s="7"/>
      <c r="I344" s="8" t="str">
        <f t="shared" si="21"/>
        <v/>
      </c>
      <c r="J344" s="8"/>
      <c r="K344" s="8"/>
      <c r="L344" s="8" t="str">
        <f>IF($A344="","",Settings!$B$3+SUMIFS($B$2:$B$495,$A$2:$A$495,"&lt;="&amp;$A344)-SUMIFS($J$2:$J$495,$A$2:$A$495,"&lt;="&amp;$A344)-SUMIFS('Weekly Purchases'!$N$2:$N$503,'Weekly Purchases'!$B$2:$B$503,"&lt;&gt;",'Weekly Purchases'!$B$2:$B$503,"&lt;="&amp;$A344)-SUMIFS('Weekly Purchases'!$N$2:$N$503,'Weekly Purchases'!$B$2:$B$503,"",'Weekly Purchases'!$A$2:$A$503,"&lt;="&amp;$A344))</f>
        <v/>
      </c>
      <c r="M344" s="8" t="str">
        <f>IF($A344="","",Settings!$B$4+SUMIFS($C$2:$C$495,$A$2:$A$495,"&lt;="&amp;$A344)-SUMIFS($K$2:$K$495,$A$2:$A$495,"&lt;="&amp;$A344)-SUMIFS('Weekly Purchases'!$O$2:$O$503,'Weekly Purchases'!$B$2:$B$503,"&lt;&gt;",'Weekly Purchases'!$B$2:$B$503,"&lt;="&amp;$A344)-SUMIFS('Weekly Purchases'!$O$2:$O$503,'Weekly Purchases'!$B$2:$B$503,"",'Weekly Purchases'!$A$2:$A$503,"&lt;="&amp;$A344))</f>
        <v/>
      </c>
      <c r="N344" s="8" t="str">
        <f t="shared" si="22"/>
        <v/>
      </c>
      <c r="O344" s="8" t="str">
        <f t="shared" si="23"/>
        <v/>
      </c>
      <c r="P344" s="4"/>
    </row>
    <row r="345" spans="1:16">
      <c r="A345" s="6"/>
      <c r="B345" s="7"/>
      <c r="C345" s="7"/>
      <c r="D345" s="8" t="str">
        <f t="shared" si="20"/>
        <v/>
      </c>
      <c r="E345" s="7"/>
      <c r="F345" s="7"/>
      <c r="G345" s="7"/>
      <c r="H345" s="7"/>
      <c r="I345" s="8" t="str">
        <f t="shared" si="21"/>
        <v/>
      </c>
      <c r="J345" s="8"/>
      <c r="K345" s="8"/>
      <c r="L345" s="8" t="str">
        <f>IF($A345="","",Settings!$B$3+SUMIFS($B$2:$B$495,$A$2:$A$495,"&lt;="&amp;$A345)-SUMIFS($J$2:$J$495,$A$2:$A$495,"&lt;="&amp;$A345)-SUMIFS('Weekly Purchases'!$N$2:$N$503,'Weekly Purchases'!$B$2:$B$503,"&lt;&gt;",'Weekly Purchases'!$B$2:$B$503,"&lt;="&amp;$A345)-SUMIFS('Weekly Purchases'!$N$2:$N$503,'Weekly Purchases'!$B$2:$B$503,"",'Weekly Purchases'!$A$2:$A$503,"&lt;="&amp;$A345))</f>
        <v/>
      </c>
      <c r="M345" s="8" t="str">
        <f>IF($A345="","",Settings!$B$4+SUMIFS($C$2:$C$495,$A$2:$A$495,"&lt;="&amp;$A345)-SUMIFS($K$2:$K$495,$A$2:$A$495,"&lt;="&amp;$A345)-SUMIFS('Weekly Purchases'!$O$2:$O$503,'Weekly Purchases'!$B$2:$B$503,"&lt;&gt;",'Weekly Purchases'!$B$2:$B$503,"&lt;="&amp;$A345)-SUMIFS('Weekly Purchases'!$O$2:$O$503,'Weekly Purchases'!$B$2:$B$503,"",'Weekly Purchases'!$A$2:$A$503,"&lt;="&amp;$A345))</f>
        <v/>
      </c>
      <c r="N345" s="8" t="str">
        <f t="shared" si="22"/>
        <v/>
      </c>
      <c r="O345" s="8" t="str">
        <f t="shared" si="23"/>
        <v/>
      </c>
      <c r="P345" s="4"/>
    </row>
    <row r="346" spans="1:16">
      <c r="A346" s="6"/>
      <c r="B346" s="7"/>
      <c r="C346" s="7"/>
      <c r="D346" s="8" t="str">
        <f t="shared" si="20"/>
        <v/>
      </c>
      <c r="E346" s="7"/>
      <c r="F346" s="7"/>
      <c r="G346" s="7"/>
      <c r="H346" s="7"/>
      <c r="I346" s="8" t="str">
        <f t="shared" si="21"/>
        <v/>
      </c>
      <c r="J346" s="8"/>
      <c r="K346" s="8"/>
      <c r="L346" s="8" t="str">
        <f>IF($A346="","",Settings!$B$3+SUMIFS($B$2:$B$495,$A$2:$A$495,"&lt;="&amp;$A346)-SUMIFS($J$2:$J$495,$A$2:$A$495,"&lt;="&amp;$A346)-SUMIFS('Weekly Purchases'!$N$2:$N$503,'Weekly Purchases'!$B$2:$B$503,"&lt;&gt;",'Weekly Purchases'!$B$2:$B$503,"&lt;="&amp;$A346)-SUMIFS('Weekly Purchases'!$N$2:$N$503,'Weekly Purchases'!$B$2:$B$503,"",'Weekly Purchases'!$A$2:$A$503,"&lt;="&amp;$A346))</f>
        <v/>
      </c>
      <c r="M346" s="8" t="str">
        <f>IF($A346="","",Settings!$B$4+SUMIFS($C$2:$C$495,$A$2:$A$495,"&lt;="&amp;$A346)-SUMIFS($K$2:$K$495,$A$2:$A$495,"&lt;="&amp;$A346)-SUMIFS('Weekly Purchases'!$O$2:$O$503,'Weekly Purchases'!$B$2:$B$503,"&lt;&gt;",'Weekly Purchases'!$B$2:$B$503,"&lt;="&amp;$A346)-SUMIFS('Weekly Purchases'!$O$2:$O$503,'Weekly Purchases'!$B$2:$B$503,"",'Weekly Purchases'!$A$2:$A$503,"&lt;="&amp;$A346))</f>
        <v/>
      </c>
      <c r="N346" s="8" t="str">
        <f t="shared" si="22"/>
        <v/>
      </c>
      <c r="O346" s="8" t="str">
        <f t="shared" si="23"/>
        <v/>
      </c>
      <c r="P346" s="4"/>
    </row>
    <row r="347" spans="1:16">
      <c r="A347" s="6"/>
      <c r="B347" s="7"/>
      <c r="C347" s="7"/>
      <c r="D347" s="8" t="str">
        <f t="shared" si="20"/>
        <v/>
      </c>
      <c r="E347" s="7"/>
      <c r="F347" s="7"/>
      <c r="G347" s="7"/>
      <c r="H347" s="7"/>
      <c r="I347" s="8" t="str">
        <f t="shared" si="21"/>
        <v/>
      </c>
      <c r="J347" s="8"/>
      <c r="K347" s="8"/>
      <c r="L347" s="8" t="str">
        <f>IF($A347="","",Settings!$B$3+SUMIFS($B$2:$B$495,$A$2:$A$495,"&lt;="&amp;$A347)-SUMIFS($J$2:$J$495,$A$2:$A$495,"&lt;="&amp;$A347)-SUMIFS('Weekly Purchases'!$N$2:$N$503,'Weekly Purchases'!$B$2:$B$503,"&lt;&gt;",'Weekly Purchases'!$B$2:$B$503,"&lt;="&amp;$A347)-SUMIFS('Weekly Purchases'!$N$2:$N$503,'Weekly Purchases'!$B$2:$B$503,"",'Weekly Purchases'!$A$2:$A$503,"&lt;="&amp;$A347))</f>
        <v/>
      </c>
      <c r="M347" s="8" t="str">
        <f>IF($A347="","",Settings!$B$4+SUMIFS($C$2:$C$495,$A$2:$A$495,"&lt;="&amp;$A347)-SUMIFS($K$2:$K$495,$A$2:$A$495,"&lt;="&amp;$A347)-SUMIFS('Weekly Purchases'!$O$2:$O$503,'Weekly Purchases'!$B$2:$B$503,"&lt;&gt;",'Weekly Purchases'!$B$2:$B$503,"&lt;="&amp;$A347)-SUMIFS('Weekly Purchases'!$O$2:$O$503,'Weekly Purchases'!$B$2:$B$503,"",'Weekly Purchases'!$A$2:$A$503,"&lt;="&amp;$A347))</f>
        <v/>
      </c>
      <c r="N347" s="8" t="str">
        <f t="shared" si="22"/>
        <v/>
      </c>
      <c r="O347" s="8" t="str">
        <f t="shared" si="23"/>
        <v/>
      </c>
      <c r="P347" s="4"/>
    </row>
    <row r="348" spans="1:16">
      <c r="A348" s="6"/>
      <c r="B348" s="7"/>
      <c r="C348" s="7"/>
      <c r="D348" s="8" t="str">
        <f t="shared" si="20"/>
        <v/>
      </c>
      <c r="E348" s="7"/>
      <c r="F348" s="7"/>
      <c r="G348" s="7"/>
      <c r="H348" s="7"/>
      <c r="I348" s="8" t="str">
        <f t="shared" si="21"/>
        <v/>
      </c>
      <c r="J348" s="8"/>
      <c r="K348" s="8"/>
      <c r="L348" s="8" t="str">
        <f>IF($A348="","",Settings!$B$3+SUMIFS($B$2:$B$495,$A$2:$A$495,"&lt;="&amp;$A348)-SUMIFS($J$2:$J$495,$A$2:$A$495,"&lt;="&amp;$A348)-SUMIFS('Weekly Purchases'!$N$2:$N$503,'Weekly Purchases'!$B$2:$B$503,"&lt;&gt;",'Weekly Purchases'!$B$2:$B$503,"&lt;="&amp;$A348)-SUMIFS('Weekly Purchases'!$N$2:$N$503,'Weekly Purchases'!$B$2:$B$503,"",'Weekly Purchases'!$A$2:$A$503,"&lt;="&amp;$A348))</f>
        <v/>
      </c>
      <c r="M348" s="8" t="str">
        <f>IF($A348="","",Settings!$B$4+SUMIFS($C$2:$C$495,$A$2:$A$495,"&lt;="&amp;$A348)-SUMIFS($K$2:$K$495,$A$2:$A$495,"&lt;="&amp;$A348)-SUMIFS('Weekly Purchases'!$O$2:$O$503,'Weekly Purchases'!$B$2:$B$503,"&lt;&gt;",'Weekly Purchases'!$B$2:$B$503,"&lt;="&amp;$A348)-SUMIFS('Weekly Purchases'!$O$2:$O$503,'Weekly Purchases'!$B$2:$B$503,"",'Weekly Purchases'!$A$2:$A$503,"&lt;="&amp;$A348))</f>
        <v/>
      </c>
      <c r="N348" s="8" t="str">
        <f t="shared" si="22"/>
        <v/>
      </c>
      <c r="O348" s="8" t="str">
        <f t="shared" si="23"/>
        <v/>
      </c>
      <c r="P348" s="4"/>
    </row>
    <row r="349" spans="1:16">
      <c r="A349" s="6"/>
      <c r="B349" s="7"/>
      <c r="C349" s="7"/>
      <c r="D349" s="8" t="str">
        <f t="shared" si="20"/>
        <v/>
      </c>
      <c r="E349" s="7"/>
      <c r="F349" s="7"/>
      <c r="G349" s="7"/>
      <c r="H349" s="7"/>
      <c r="I349" s="8" t="str">
        <f t="shared" si="21"/>
        <v/>
      </c>
      <c r="J349" s="8"/>
      <c r="K349" s="8"/>
      <c r="L349" s="8" t="str">
        <f>IF($A349="","",Settings!$B$3+SUMIFS($B$2:$B$495,$A$2:$A$495,"&lt;="&amp;$A349)-SUMIFS($J$2:$J$495,$A$2:$A$495,"&lt;="&amp;$A349)-SUMIFS('Weekly Purchases'!$N$2:$N$503,'Weekly Purchases'!$B$2:$B$503,"&lt;&gt;",'Weekly Purchases'!$B$2:$B$503,"&lt;="&amp;$A349)-SUMIFS('Weekly Purchases'!$N$2:$N$503,'Weekly Purchases'!$B$2:$B$503,"",'Weekly Purchases'!$A$2:$A$503,"&lt;="&amp;$A349))</f>
        <v/>
      </c>
      <c r="M349" s="8" t="str">
        <f>IF($A349="","",Settings!$B$4+SUMIFS($C$2:$C$495,$A$2:$A$495,"&lt;="&amp;$A349)-SUMIFS($K$2:$K$495,$A$2:$A$495,"&lt;="&amp;$A349)-SUMIFS('Weekly Purchases'!$O$2:$O$503,'Weekly Purchases'!$B$2:$B$503,"&lt;&gt;",'Weekly Purchases'!$B$2:$B$503,"&lt;="&amp;$A349)-SUMIFS('Weekly Purchases'!$O$2:$O$503,'Weekly Purchases'!$B$2:$B$503,"",'Weekly Purchases'!$A$2:$A$503,"&lt;="&amp;$A349))</f>
        <v/>
      </c>
      <c r="N349" s="8" t="str">
        <f t="shared" si="22"/>
        <v/>
      </c>
      <c r="O349" s="8" t="str">
        <f t="shared" si="23"/>
        <v/>
      </c>
      <c r="P349" s="4"/>
    </row>
    <row r="350" spans="1:16">
      <c r="A350" s="6"/>
      <c r="B350" s="7"/>
      <c r="C350" s="7"/>
      <c r="D350" s="8" t="str">
        <f t="shared" si="20"/>
        <v/>
      </c>
      <c r="E350" s="7"/>
      <c r="F350" s="7"/>
      <c r="G350" s="7"/>
      <c r="H350" s="7"/>
      <c r="I350" s="8" t="str">
        <f t="shared" si="21"/>
        <v/>
      </c>
      <c r="J350" s="8"/>
      <c r="K350" s="8"/>
      <c r="L350" s="8" t="str">
        <f>IF($A350="","",Settings!$B$3+SUMIFS($B$2:$B$495,$A$2:$A$495,"&lt;="&amp;$A350)-SUMIFS($J$2:$J$495,$A$2:$A$495,"&lt;="&amp;$A350)-SUMIFS('Weekly Purchases'!$N$2:$N$503,'Weekly Purchases'!$B$2:$B$503,"&lt;&gt;",'Weekly Purchases'!$B$2:$B$503,"&lt;="&amp;$A350)-SUMIFS('Weekly Purchases'!$N$2:$N$503,'Weekly Purchases'!$B$2:$B$503,"",'Weekly Purchases'!$A$2:$A$503,"&lt;="&amp;$A350))</f>
        <v/>
      </c>
      <c r="M350" s="8" t="str">
        <f>IF($A350="","",Settings!$B$4+SUMIFS($C$2:$C$495,$A$2:$A$495,"&lt;="&amp;$A350)-SUMIFS($K$2:$K$495,$A$2:$A$495,"&lt;="&amp;$A350)-SUMIFS('Weekly Purchases'!$O$2:$O$503,'Weekly Purchases'!$B$2:$B$503,"&lt;&gt;",'Weekly Purchases'!$B$2:$B$503,"&lt;="&amp;$A350)-SUMIFS('Weekly Purchases'!$O$2:$O$503,'Weekly Purchases'!$B$2:$B$503,"",'Weekly Purchases'!$A$2:$A$503,"&lt;="&amp;$A350))</f>
        <v/>
      </c>
      <c r="N350" s="8" t="str">
        <f t="shared" si="22"/>
        <v/>
      </c>
      <c r="O350" s="8" t="str">
        <f t="shared" si="23"/>
        <v/>
      </c>
      <c r="P350" s="4"/>
    </row>
    <row r="351" spans="1:16">
      <c r="A351" s="6"/>
      <c r="B351" s="7"/>
      <c r="C351" s="7"/>
      <c r="D351" s="8" t="str">
        <f t="shared" si="20"/>
        <v/>
      </c>
      <c r="E351" s="7"/>
      <c r="F351" s="7"/>
      <c r="G351" s="7"/>
      <c r="H351" s="7"/>
      <c r="I351" s="8" t="str">
        <f t="shared" si="21"/>
        <v/>
      </c>
      <c r="J351" s="8"/>
      <c r="K351" s="8"/>
      <c r="L351" s="8" t="str">
        <f>IF($A351="","",Settings!$B$3+SUMIFS($B$2:$B$495,$A$2:$A$495,"&lt;="&amp;$A351)-SUMIFS($J$2:$J$495,$A$2:$A$495,"&lt;="&amp;$A351)-SUMIFS('Weekly Purchases'!$N$2:$N$503,'Weekly Purchases'!$B$2:$B$503,"&lt;&gt;",'Weekly Purchases'!$B$2:$B$503,"&lt;="&amp;$A351)-SUMIFS('Weekly Purchases'!$N$2:$N$503,'Weekly Purchases'!$B$2:$B$503,"",'Weekly Purchases'!$A$2:$A$503,"&lt;="&amp;$A351))</f>
        <v/>
      </c>
      <c r="M351" s="8" t="str">
        <f>IF($A351="","",Settings!$B$4+SUMIFS($C$2:$C$495,$A$2:$A$495,"&lt;="&amp;$A351)-SUMIFS($K$2:$K$495,$A$2:$A$495,"&lt;="&amp;$A351)-SUMIFS('Weekly Purchases'!$O$2:$O$503,'Weekly Purchases'!$B$2:$B$503,"&lt;&gt;",'Weekly Purchases'!$B$2:$B$503,"&lt;="&amp;$A351)-SUMIFS('Weekly Purchases'!$O$2:$O$503,'Weekly Purchases'!$B$2:$B$503,"",'Weekly Purchases'!$A$2:$A$503,"&lt;="&amp;$A351))</f>
        <v/>
      </c>
      <c r="N351" s="8" t="str">
        <f t="shared" si="22"/>
        <v/>
      </c>
      <c r="O351" s="8" t="str">
        <f t="shared" si="23"/>
        <v/>
      </c>
      <c r="P351" s="4"/>
    </row>
    <row r="352" spans="1:16">
      <c r="A352" s="6"/>
      <c r="B352" s="7"/>
      <c r="C352" s="7"/>
      <c r="D352" s="8" t="str">
        <f t="shared" si="20"/>
        <v/>
      </c>
      <c r="E352" s="7"/>
      <c r="F352" s="7"/>
      <c r="G352" s="7"/>
      <c r="H352" s="7"/>
      <c r="I352" s="8" t="str">
        <f t="shared" si="21"/>
        <v/>
      </c>
      <c r="J352" s="8"/>
      <c r="K352" s="8"/>
      <c r="L352" s="8" t="str">
        <f>IF($A352="","",Settings!$B$3+SUMIFS($B$2:$B$495,$A$2:$A$495,"&lt;="&amp;$A352)-SUMIFS($J$2:$J$495,$A$2:$A$495,"&lt;="&amp;$A352)-SUMIFS('Weekly Purchases'!$N$2:$N$503,'Weekly Purchases'!$B$2:$B$503,"&lt;&gt;",'Weekly Purchases'!$B$2:$B$503,"&lt;="&amp;$A352)-SUMIFS('Weekly Purchases'!$N$2:$N$503,'Weekly Purchases'!$B$2:$B$503,"",'Weekly Purchases'!$A$2:$A$503,"&lt;="&amp;$A352))</f>
        <v/>
      </c>
      <c r="M352" s="8" t="str">
        <f>IF($A352="","",Settings!$B$4+SUMIFS($C$2:$C$495,$A$2:$A$495,"&lt;="&amp;$A352)-SUMIFS($K$2:$K$495,$A$2:$A$495,"&lt;="&amp;$A352)-SUMIFS('Weekly Purchases'!$O$2:$O$503,'Weekly Purchases'!$B$2:$B$503,"&lt;&gt;",'Weekly Purchases'!$B$2:$B$503,"&lt;="&amp;$A352)-SUMIFS('Weekly Purchases'!$O$2:$O$503,'Weekly Purchases'!$B$2:$B$503,"",'Weekly Purchases'!$A$2:$A$503,"&lt;="&amp;$A352))</f>
        <v/>
      </c>
      <c r="N352" s="8" t="str">
        <f t="shared" si="22"/>
        <v/>
      </c>
      <c r="O352" s="8" t="str">
        <f t="shared" si="23"/>
        <v/>
      </c>
      <c r="P352" s="4"/>
    </row>
    <row r="353" spans="1:16">
      <c r="A353" s="6"/>
      <c r="B353" s="7"/>
      <c r="C353" s="7"/>
      <c r="D353" s="8" t="str">
        <f t="shared" si="20"/>
        <v/>
      </c>
      <c r="E353" s="7"/>
      <c r="F353" s="7"/>
      <c r="G353" s="7"/>
      <c r="H353" s="7"/>
      <c r="I353" s="8" t="str">
        <f t="shared" si="21"/>
        <v/>
      </c>
      <c r="J353" s="8"/>
      <c r="K353" s="8"/>
      <c r="L353" s="8" t="str">
        <f>IF($A353="","",Settings!$B$3+SUMIFS($B$2:$B$495,$A$2:$A$495,"&lt;="&amp;$A353)-SUMIFS($J$2:$J$495,$A$2:$A$495,"&lt;="&amp;$A353)-SUMIFS('Weekly Purchases'!$N$2:$N$503,'Weekly Purchases'!$B$2:$B$503,"&lt;&gt;",'Weekly Purchases'!$B$2:$B$503,"&lt;="&amp;$A353)-SUMIFS('Weekly Purchases'!$N$2:$N$503,'Weekly Purchases'!$B$2:$B$503,"",'Weekly Purchases'!$A$2:$A$503,"&lt;="&amp;$A353))</f>
        <v/>
      </c>
      <c r="M353" s="8" t="str">
        <f>IF($A353="","",Settings!$B$4+SUMIFS($C$2:$C$495,$A$2:$A$495,"&lt;="&amp;$A353)-SUMIFS($K$2:$K$495,$A$2:$A$495,"&lt;="&amp;$A353)-SUMIFS('Weekly Purchases'!$O$2:$O$503,'Weekly Purchases'!$B$2:$B$503,"&lt;&gt;",'Weekly Purchases'!$B$2:$B$503,"&lt;="&amp;$A353)-SUMIFS('Weekly Purchases'!$O$2:$O$503,'Weekly Purchases'!$B$2:$B$503,"",'Weekly Purchases'!$A$2:$A$503,"&lt;="&amp;$A353))</f>
        <v/>
      </c>
      <c r="N353" s="8" t="str">
        <f t="shared" si="22"/>
        <v/>
      </c>
      <c r="O353" s="8" t="str">
        <f t="shared" si="23"/>
        <v/>
      </c>
      <c r="P353" s="4"/>
    </row>
    <row r="354" spans="1:16">
      <c r="A354" s="6"/>
      <c r="B354" s="7"/>
      <c r="C354" s="7"/>
      <c r="D354" s="8" t="str">
        <f t="shared" si="20"/>
        <v/>
      </c>
      <c r="E354" s="7"/>
      <c r="F354" s="7"/>
      <c r="G354" s="7"/>
      <c r="H354" s="7"/>
      <c r="I354" s="8" t="str">
        <f t="shared" si="21"/>
        <v/>
      </c>
      <c r="J354" s="8"/>
      <c r="K354" s="8"/>
      <c r="L354" s="8" t="str">
        <f>IF($A354="","",Settings!$B$3+SUMIFS($B$2:$B$495,$A$2:$A$495,"&lt;="&amp;$A354)-SUMIFS($J$2:$J$495,$A$2:$A$495,"&lt;="&amp;$A354)-SUMIFS('Weekly Purchases'!$N$2:$N$503,'Weekly Purchases'!$B$2:$B$503,"&lt;&gt;",'Weekly Purchases'!$B$2:$B$503,"&lt;="&amp;$A354)-SUMIFS('Weekly Purchases'!$N$2:$N$503,'Weekly Purchases'!$B$2:$B$503,"",'Weekly Purchases'!$A$2:$A$503,"&lt;="&amp;$A354))</f>
        <v/>
      </c>
      <c r="M354" s="8" t="str">
        <f>IF($A354="","",Settings!$B$4+SUMIFS($C$2:$C$495,$A$2:$A$495,"&lt;="&amp;$A354)-SUMIFS($K$2:$K$495,$A$2:$A$495,"&lt;="&amp;$A354)-SUMIFS('Weekly Purchases'!$O$2:$O$503,'Weekly Purchases'!$B$2:$B$503,"&lt;&gt;",'Weekly Purchases'!$B$2:$B$503,"&lt;="&amp;$A354)-SUMIFS('Weekly Purchases'!$O$2:$O$503,'Weekly Purchases'!$B$2:$B$503,"",'Weekly Purchases'!$A$2:$A$503,"&lt;="&amp;$A354))</f>
        <v/>
      </c>
      <c r="N354" s="8" t="str">
        <f t="shared" si="22"/>
        <v/>
      </c>
      <c r="O354" s="8" t="str">
        <f t="shared" si="23"/>
        <v/>
      </c>
      <c r="P354" s="4"/>
    </row>
    <row r="355" spans="1:16">
      <c r="A355" s="6"/>
      <c r="B355" s="7"/>
      <c r="C355" s="7"/>
      <c r="D355" s="8" t="str">
        <f t="shared" si="20"/>
        <v/>
      </c>
      <c r="E355" s="7"/>
      <c r="F355" s="7"/>
      <c r="G355" s="7"/>
      <c r="H355" s="7"/>
      <c r="I355" s="8" t="str">
        <f t="shared" si="21"/>
        <v/>
      </c>
      <c r="J355" s="8"/>
      <c r="K355" s="8"/>
      <c r="L355" s="8" t="str">
        <f>IF($A355="","",Settings!$B$3+SUMIFS($B$2:$B$495,$A$2:$A$495,"&lt;="&amp;$A355)-SUMIFS($J$2:$J$495,$A$2:$A$495,"&lt;="&amp;$A355)-SUMIFS('Weekly Purchases'!$N$2:$N$503,'Weekly Purchases'!$B$2:$B$503,"&lt;&gt;",'Weekly Purchases'!$B$2:$B$503,"&lt;="&amp;$A355)-SUMIFS('Weekly Purchases'!$N$2:$N$503,'Weekly Purchases'!$B$2:$B$503,"",'Weekly Purchases'!$A$2:$A$503,"&lt;="&amp;$A355))</f>
        <v/>
      </c>
      <c r="M355" s="8" t="str">
        <f>IF($A355="","",Settings!$B$4+SUMIFS($C$2:$C$495,$A$2:$A$495,"&lt;="&amp;$A355)-SUMIFS($K$2:$K$495,$A$2:$A$495,"&lt;="&amp;$A355)-SUMIFS('Weekly Purchases'!$O$2:$O$503,'Weekly Purchases'!$B$2:$B$503,"&lt;&gt;",'Weekly Purchases'!$B$2:$B$503,"&lt;="&amp;$A355)-SUMIFS('Weekly Purchases'!$O$2:$O$503,'Weekly Purchases'!$B$2:$B$503,"",'Weekly Purchases'!$A$2:$A$503,"&lt;="&amp;$A355))</f>
        <v/>
      </c>
      <c r="N355" s="8" t="str">
        <f t="shared" si="22"/>
        <v/>
      </c>
      <c r="O355" s="8" t="str">
        <f t="shared" si="23"/>
        <v/>
      </c>
      <c r="P355" s="4"/>
    </row>
    <row r="356" spans="1:16">
      <c r="A356" s="6"/>
      <c r="B356" s="7"/>
      <c r="C356" s="7"/>
      <c r="D356" s="8" t="str">
        <f t="shared" si="20"/>
        <v/>
      </c>
      <c r="E356" s="7"/>
      <c r="F356" s="7"/>
      <c r="G356" s="7"/>
      <c r="H356" s="7"/>
      <c r="I356" s="8" t="str">
        <f t="shared" si="21"/>
        <v/>
      </c>
      <c r="J356" s="8"/>
      <c r="K356" s="8"/>
      <c r="L356" s="8" t="str">
        <f>IF($A356="","",Settings!$B$3+SUMIFS($B$2:$B$495,$A$2:$A$495,"&lt;="&amp;$A356)-SUMIFS($J$2:$J$495,$A$2:$A$495,"&lt;="&amp;$A356)-SUMIFS('Weekly Purchases'!$N$2:$N$503,'Weekly Purchases'!$B$2:$B$503,"&lt;&gt;",'Weekly Purchases'!$B$2:$B$503,"&lt;="&amp;$A356)-SUMIFS('Weekly Purchases'!$N$2:$N$503,'Weekly Purchases'!$B$2:$B$503,"",'Weekly Purchases'!$A$2:$A$503,"&lt;="&amp;$A356))</f>
        <v/>
      </c>
      <c r="M356" s="8" t="str">
        <f>IF($A356="","",Settings!$B$4+SUMIFS($C$2:$C$495,$A$2:$A$495,"&lt;="&amp;$A356)-SUMIFS($K$2:$K$495,$A$2:$A$495,"&lt;="&amp;$A356)-SUMIFS('Weekly Purchases'!$O$2:$O$503,'Weekly Purchases'!$B$2:$B$503,"&lt;&gt;",'Weekly Purchases'!$B$2:$B$503,"&lt;="&amp;$A356)-SUMIFS('Weekly Purchases'!$O$2:$O$503,'Weekly Purchases'!$B$2:$B$503,"",'Weekly Purchases'!$A$2:$A$503,"&lt;="&amp;$A356))</f>
        <v/>
      </c>
      <c r="N356" s="8" t="str">
        <f t="shared" si="22"/>
        <v/>
      </c>
      <c r="O356" s="8" t="str">
        <f t="shared" si="23"/>
        <v/>
      </c>
      <c r="P356" s="4"/>
    </row>
    <row r="357" spans="1:16">
      <c r="A357" s="6"/>
      <c r="B357" s="7"/>
      <c r="C357" s="7"/>
      <c r="D357" s="8" t="str">
        <f t="shared" si="20"/>
        <v/>
      </c>
      <c r="E357" s="7"/>
      <c r="F357" s="7"/>
      <c r="G357" s="7"/>
      <c r="H357" s="7"/>
      <c r="I357" s="8" t="str">
        <f t="shared" si="21"/>
        <v/>
      </c>
      <c r="J357" s="8"/>
      <c r="K357" s="8"/>
      <c r="L357" s="8" t="str">
        <f>IF($A357="","",Settings!$B$3+SUMIFS($B$2:$B$495,$A$2:$A$495,"&lt;="&amp;$A357)-SUMIFS($J$2:$J$495,$A$2:$A$495,"&lt;="&amp;$A357)-SUMIFS('Weekly Purchases'!$N$2:$N$503,'Weekly Purchases'!$B$2:$B$503,"&lt;&gt;",'Weekly Purchases'!$B$2:$B$503,"&lt;="&amp;$A357)-SUMIFS('Weekly Purchases'!$N$2:$N$503,'Weekly Purchases'!$B$2:$B$503,"",'Weekly Purchases'!$A$2:$A$503,"&lt;="&amp;$A357))</f>
        <v/>
      </c>
      <c r="M357" s="8" t="str">
        <f>IF($A357="","",Settings!$B$4+SUMIFS($C$2:$C$495,$A$2:$A$495,"&lt;="&amp;$A357)-SUMIFS($K$2:$K$495,$A$2:$A$495,"&lt;="&amp;$A357)-SUMIFS('Weekly Purchases'!$O$2:$O$503,'Weekly Purchases'!$B$2:$B$503,"&lt;&gt;",'Weekly Purchases'!$B$2:$B$503,"&lt;="&amp;$A357)-SUMIFS('Weekly Purchases'!$O$2:$O$503,'Weekly Purchases'!$B$2:$B$503,"",'Weekly Purchases'!$A$2:$A$503,"&lt;="&amp;$A357))</f>
        <v/>
      </c>
      <c r="N357" s="8" t="str">
        <f t="shared" si="22"/>
        <v/>
      </c>
      <c r="O357" s="8" t="str">
        <f t="shared" si="23"/>
        <v/>
      </c>
      <c r="P357" s="4"/>
    </row>
    <row r="358" spans="1:16">
      <c r="A358" s="6"/>
      <c r="B358" s="7"/>
      <c r="C358" s="7"/>
      <c r="D358" s="8" t="str">
        <f t="shared" si="20"/>
        <v/>
      </c>
      <c r="E358" s="7"/>
      <c r="F358" s="7"/>
      <c r="G358" s="7"/>
      <c r="H358" s="7"/>
      <c r="I358" s="8" t="str">
        <f t="shared" si="21"/>
        <v/>
      </c>
      <c r="J358" s="8"/>
      <c r="K358" s="8"/>
      <c r="L358" s="8" t="str">
        <f>IF($A358="","",Settings!$B$3+SUMIFS($B$2:$B$495,$A$2:$A$495,"&lt;="&amp;$A358)-SUMIFS($J$2:$J$495,$A$2:$A$495,"&lt;="&amp;$A358)-SUMIFS('Weekly Purchases'!$N$2:$N$503,'Weekly Purchases'!$B$2:$B$503,"&lt;&gt;",'Weekly Purchases'!$B$2:$B$503,"&lt;="&amp;$A358)-SUMIFS('Weekly Purchases'!$N$2:$N$503,'Weekly Purchases'!$B$2:$B$503,"",'Weekly Purchases'!$A$2:$A$503,"&lt;="&amp;$A358))</f>
        <v/>
      </c>
      <c r="M358" s="8" t="str">
        <f>IF($A358="","",Settings!$B$4+SUMIFS($C$2:$C$495,$A$2:$A$495,"&lt;="&amp;$A358)-SUMIFS($K$2:$K$495,$A$2:$A$495,"&lt;="&amp;$A358)-SUMIFS('Weekly Purchases'!$O$2:$O$503,'Weekly Purchases'!$B$2:$B$503,"&lt;&gt;",'Weekly Purchases'!$B$2:$B$503,"&lt;="&amp;$A358)-SUMIFS('Weekly Purchases'!$O$2:$O$503,'Weekly Purchases'!$B$2:$B$503,"",'Weekly Purchases'!$A$2:$A$503,"&lt;="&amp;$A358))</f>
        <v/>
      </c>
      <c r="N358" s="8" t="str">
        <f t="shared" si="22"/>
        <v/>
      </c>
      <c r="O358" s="8" t="str">
        <f t="shared" si="23"/>
        <v/>
      </c>
      <c r="P358" s="4"/>
    </row>
    <row r="359" spans="1:16">
      <c r="A359" s="6"/>
      <c r="B359" s="7"/>
      <c r="C359" s="7"/>
      <c r="D359" s="8" t="str">
        <f t="shared" si="20"/>
        <v/>
      </c>
      <c r="E359" s="7"/>
      <c r="F359" s="7"/>
      <c r="G359" s="7"/>
      <c r="H359" s="7"/>
      <c r="I359" s="8" t="str">
        <f t="shared" si="21"/>
        <v/>
      </c>
      <c r="J359" s="8"/>
      <c r="K359" s="8"/>
      <c r="L359" s="8" t="str">
        <f>IF($A359="","",Settings!$B$3+SUMIFS($B$2:$B$495,$A$2:$A$495,"&lt;="&amp;$A359)-SUMIFS($J$2:$J$495,$A$2:$A$495,"&lt;="&amp;$A359)-SUMIFS('Weekly Purchases'!$N$2:$N$503,'Weekly Purchases'!$B$2:$B$503,"&lt;&gt;",'Weekly Purchases'!$B$2:$B$503,"&lt;="&amp;$A359)-SUMIFS('Weekly Purchases'!$N$2:$N$503,'Weekly Purchases'!$B$2:$B$503,"",'Weekly Purchases'!$A$2:$A$503,"&lt;="&amp;$A359))</f>
        <v/>
      </c>
      <c r="M359" s="8" t="str">
        <f>IF($A359="","",Settings!$B$4+SUMIFS($C$2:$C$495,$A$2:$A$495,"&lt;="&amp;$A359)-SUMIFS($K$2:$K$495,$A$2:$A$495,"&lt;="&amp;$A359)-SUMIFS('Weekly Purchases'!$O$2:$O$503,'Weekly Purchases'!$B$2:$B$503,"&lt;&gt;",'Weekly Purchases'!$B$2:$B$503,"&lt;="&amp;$A359)-SUMIFS('Weekly Purchases'!$O$2:$O$503,'Weekly Purchases'!$B$2:$B$503,"",'Weekly Purchases'!$A$2:$A$503,"&lt;="&amp;$A359))</f>
        <v/>
      </c>
      <c r="N359" s="8" t="str">
        <f t="shared" si="22"/>
        <v/>
      </c>
      <c r="O359" s="8" t="str">
        <f t="shared" si="23"/>
        <v/>
      </c>
      <c r="P359" s="4"/>
    </row>
    <row r="360" spans="1:16">
      <c r="A360" s="6"/>
      <c r="B360" s="7"/>
      <c r="C360" s="7"/>
      <c r="D360" s="8" t="str">
        <f t="shared" si="20"/>
        <v/>
      </c>
      <c r="E360" s="7"/>
      <c r="F360" s="7"/>
      <c r="G360" s="7"/>
      <c r="H360" s="7"/>
      <c r="I360" s="8" t="str">
        <f t="shared" si="21"/>
        <v/>
      </c>
      <c r="J360" s="8"/>
      <c r="K360" s="8"/>
      <c r="L360" s="8" t="str">
        <f>IF($A360="","",Settings!$B$3+SUMIFS($B$2:$B$495,$A$2:$A$495,"&lt;="&amp;$A360)-SUMIFS($J$2:$J$495,$A$2:$A$495,"&lt;="&amp;$A360)-SUMIFS('Weekly Purchases'!$N$2:$N$503,'Weekly Purchases'!$B$2:$B$503,"&lt;&gt;",'Weekly Purchases'!$B$2:$B$503,"&lt;="&amp;$A360)-SUMIFS('Weekly Purchases'!$N$2:$N$503,'Weekly Purchases'!$B$2:$B$503,"",'Weekly Purchases'!$A$2:$A$503,"&lt;="&amp;$A360))</f>
        <v/>
      </c>
      <c r="M360" s="8" t="str">
        <f>IF($A360="","",Settings!$B$4+SUMIFS($C$2:$C$495,$A$2:$A$495,"&lt;="&amp;$A360)-SUMIFS($K$2:$K$495,$A$2:$A$495,"&lt;="&amp;$A360)-SUMIFS('Weekly Purchases'!$O$2:$O$503,'Weekly Purchases'!$B$2:$B$503,"&lt;&gt;",'Weekly Purchases'!$B$2:$B$503,"&lt;="&amp;$A360)-SUMIFS('Weekly Purchases'!$O$2:$O$503,'Weekly Purchases'!$B$2:$B$503,"",'Weekly Purchases'!$A$2:$A$503,"&lt;="&amp;$A360))</f>
        <v/>
      </c>
      <c r="N360" s="8" t="str">
        <f t="shared" si="22"/>
        <v/>
      </c>
      <c r="O360" s="8" t="str">
        <f t="shared" si="23"/>
        <v/>
      </c>
      <c r="P360" s="4"/>
    </row>
    <row r="361" spans="1:16">
      <c r="A361" s="6"/>
      <c r="B361" s="7"/>
      <c r="C361" s="7"/>
      <c r="D361" s="8" t="str">
        <f t="shared" si="20"/>
        <v/>
      </c>
      <c r="E361" s="7"/>
      <c r="F361" s="7"/>
      <c r="G361" s="7"/>
      <c r="H361" s="7"/>
      <c r="I361" s="8" t="str">
        <f t="shared" si="21"/>
        <v/>
      </c>
      <c r="J361" s="8"/>
      <c r="K361" s="8"/>
      <c r="L361" s="8" t="str">
        <f>IF($A361="","",Settings!$B$3+SUMIFS($B$2:$B$495,$A$2:$A$495,"&lt;="&amp;$A361)-SUMIFS($J$2:$J$495,$A$2:$A$495,"&lt;="&amp;$A361)-SUMIFS('Weekly Purchases'!$N$2:$N$503,'Weekly Purchases'!$B$2:$B$503,"&lt;&gt;",'Weekly Purchases'!$B$2:$B$503,"&lt;="&amp;$A361)-SUMIFS('Weekly Purchases'!$N$2:$N$503,'Weekly Purchases'!$B$2:$B$503,"",'Weekly Purchases'!$A$2:$A$503,"&lt;="&amp;$A361))</f>
        <v/>
      </c>
      <c r="M361" s="8" t="str">
        <f>IF($A361="","",Settings!$B$4+SUMIFS($C$2:$C$495,$A$2:$A$495,"&lt;="&amp;$A361)-SUMIFS($K$2:$K$495,$A$2:$A$495,"&lt;="&amp;$A361)-SUMIFS('Weekly Purchases'!$O$2:$O$503,'Weekly Purchases'!$B$2:$B$503,"&lt;&gt;",'Weekly Purchases'!$B$2:$B$503,"&lt;="&amp;$A361)-SUMIFS('Weekly Purchases'!$O$2:$O$503,'Weekly Purchases'!$B$2:$B$503,"",'Weekly Purchases'!$A$2:$A$503,"&lt;="&amp;$A361))</f>
        <v/>
      </c>
      <c r="N361" s="8" t="str">
        <f t="shared" si="22"/>
        <v/>
      </c>
      <c r="O361" s="8" t="str">
        <f t="shared" si="23"/>
        <v/>
      </c>
      <c r="P361" s="4"/>
    </row>
    <row r="362" spans="1:16">
      <c r="A362" s="6"/>
      <c r="B362" s="7"/>
      <c r="C362" s="7"/>
      <c r="D362" s="8" t="str">
        <f t="shared" si="20"/>
        <v/>
      </c>
      <c r="E362" s="7"/>
      <c r="F362" s="7"/>
      <c r="G362" s="7"/>
      <c r="H362" s="7"/>
      <c r="I362" s="8" t="str">
        <f t="shared" si="21"/>
        <v/>
      </c>
      <c r="J362" s="8"/>
      <c r="K362" s="8"/>
      <c r="L362" s="8" t="str">
        <f>IF($A362="","",Settings!$B$3+SUMIFS($B$2:$B$495,$A$2:$A$495,"&lt;="&amp;$A362)-SUMIFS($J$2:$J$495,$A$2:$A$495,"&lt;="&amp;$A362)-SUMIFS('Weekly Purchases'!$N$2:$N$503,'Weekly Purchases'!$B$2:$B$503,"&lt;&gt;",'Weekly Purchases'!$B$2:$B$503,"&lt;="&amp;$A362)-SUMIFS('Weekly Purchases'!$N$2:$N$503,'Weekly Purchases'!$B$2:$B$503,"",'Weekly Purchases'!$A$2:$A$503,"&lt;="&amp;$A362))</f>
        <v/>
      </c>
      <c r="M362" s="8" t="str">
        <f>IF($A362="","",Settings!$B$4+SUMIFS($C$2:$C$495,$A$2:$A$495,"&lt;="&amp;$A362)-SUMIFS($K$2:$K$495,$A$2:$A$495,"&lt;="&amp;$A362)-SUMIFS('Weekly Purchases'!$O$2:$O$503,'Weekly Purchases'!$B$2:$B$503,"&lt;&gt;",'Weekly Purchases'!$B$2:$B$503,"&lt;="&amp;$A362)-SUMIFS('Weekly Purchases'!$O$2:$O$503,'Weekly Purchases'!$B$2:$B$503,"",'Weekly Purchases'!$A$2:$A$503,"&lt;="&amp;$A362))</f>
        <v/>
      </c>
      <c r="N362" s="8" t="str">
        <f t="shared" si="22"/>
        <v/>
      </c>
      <c r="O362" s="8" t="str">
        <f t="shared" si="23"/>
        <v/>
      </c>
      <c r="P362" s="4"/>
    </row>
    <row r="363" spans="1:16">
      <c r="A363" s="6"/>
      <c r="B363" s="7"/>
      <c r="C363" s="7"/>
      <c r="D363" s="8" t="str">
        <f t="shared" si="20"/>
        <v/>
      </c>
      <c r="E363" s="7"/>
      <c r="F363" s="7"/>
      <c r="G363" s="7"/>
      <c r="H363" s="7"/>
      <c r="I363" s="8" t="str">
        <f t="shared" si="21"/>
        <v/>
      </c>
      <c r="J363" s="8"/>
      <c r="K363" s="8"/>
      <c r="L363" s="8" t="str">
        <f>IF($A363="","",Settings!$B$3+SUMIFS($B$2:$B$495,$A$2:$A$495,"&lt;="&amp;$A363)-SUMIFS($J$2:$J$495,$A$2:$A$495,"&lt;="&amp;$A363)-SUMIFS('Weekly Purchases'!$N$2:$N$503,'Weekly Purchases'!$B$2:$B$503,"&lt;&gt;",'Weekly Purchases'!$B$2:$B$503,"&lt;="&amp;$A363)-SUMIFS('Weekly Purchases'!$N$2:$N$503,'Weekly Purchases'!$B$2:$B$503,"",'Weekly Purchases'!$A$2:$A$503,"&lt;="&amp;$A363))</f>
        <v/>
      </c>
      <c r="M363" s="8" t="str">
        <f>IF($A363="","",Settings!$B$4+SUMIFS($C$2:$C$495,$A$2:$A$495,"&lt;="&amp;$A363)-SUMIFS($K$2:$K$495,$A$2:$A$495,"&lt;="&amp;$A363)-SUMIFS('Weekly Purchases'!$O$2:$O$503,'Weekly Purchases'!$B$2:$B$503,"&lt;&gt;",'Weekly Purchases'!$B$2:$B$503,"&lt;="&amp;$A363)-SUMIFS('Weekly Purchases'!$O$2:$O$503,'Weekly Purchases'!$B$2:$B$503,"",'Weekly Purchases'!$A$2:$A$503,"&lt;="&amp;$A363))</f>
        <v/>
      </c>
      <c r="N363" s="8" t="str">
        <f t="shared" si="22"/>
        <v/>
      </c>
      <c r="O363" s="8" t="str">
        <f t="shared" si="23"/>
        <v/>
      </c>
      <c r="P363" s="4"/>
    </row>
    <row r="364" spans="1:16">
      <c r="A364" s="6"/>
      <c r="B364" s="7"/>
      <c r="C364" s="7"/>
      <c r="D364" s="8" t="str">
        <f t="shared" si="20"/>
        <v/>
      </c>
      <c r="E364" s="7"/>
      <c r="F364" s="7"/>
      <c r="G364" s="7"/>
      <c r="H364" s="7"/>
      <c r="I364" s="8" t="str">
        <f t="shared" si="21"/>
        <v/>
      </c>
      <c r="J364" s="8"/>
      <c r="K364" s="8"/>
      <c r="L364" s="8" t="str">
        <f>IF($A364="","",Settings!$B$3+SUMIFS($B$2:$B$495,$A$2:$A$495,"&lt;="&amp;$A364)-SUMIFS($J$2:$J$495,$A$2:$A$495,"&lt;="&amp;$A364)-SUMIFS('Weekly Purchases'!$N$2:$N$503,'Weekly Purchases'!$B$2:$B$503,"&lt;&gt;",'Weekly Purchases'!$B$2:$B$503,"&lt;="&amp;$A364)-SUMIFS('Weekly Purchases'!$N$2:$N$503,'Weekly Purchases'!$B$2:$B$503,"",'Weekly Purchases'!$A$2:$A$503,"&lt;="&amp;$A364))</f>
        <v/>
      </c>
      <c r="M364" s="8" t="str">
        <f>IF($A364="","",Settings!$B$4+SUMIFS($C$2:$C$495,$A$2:$A$495,"&lt;="&amp;$A364)-SUMIFS($K$2:$K$495,$A$2:$A$495,"&lt;="&amp;$A364)-SUMIFS('Weekly Purchases'!$O$2:$O$503,'Weekly Purchases'!$B$2:$B$503,"&lt;&gt;",'Weekly Purchases'!$B$2:$B$503,"&lt;="&amp;$A364)-SUMIFS('Weekly Purchases'!$O$2:$O$503,'Weekly Purchases'!$B$2:$B$503,"",'Weekly Purchases'!$A$2:$A$503,"&lt;="&amp;$A364))</f>
        <v/>
      </c>
      <c r="N364" s="8" t="str">
        <f t="shared" si="22"/>
        <v/>
      </c>
      <c r="O364" s="8" t="str">
        <f t="shared" si="23"/>
        <v/>
      </c>
      <c r="P364" s="4"/>
    </row>
    <row r="365" spans="1:16">
      <c r="A365" s="6"/>
      <c r="B365" s="7"/>
      <c r="C365" s="7"/>
      <c r="D365" s="8" t="str">
        <f t="shared" si="20"/>
        <v/>
      </c>
      <c r="E365" s="7"/>
      <c r="F365" s="7"/>
      <c r="G365" s="7"/>
      <c r="H365" s="7"/>
      <c r="I365" s="8" t="str">
        <f t="shared" si="21"/>
        <v/>
      </c>
      <c r="J365" s="8"/>
      <c r="K365" s="8"/>
      <c r="L365" s="8" t="str">
        <f>IF($A365="","",Settings!$B$3+SUMIFS($B$2:$B$495,$A$2:$A$495,"&lt;="&amp;$A365)-SUMIFS($J$2:$J$495,$A$2:$A$495,"&lt;="&amp;$A365)-SUMIFS('Weekly Purchases'!$N$2:$N$503,'Weekly Purchases'!$B$2:$B$503,"&lt;&gt;",'Weekly Purchases'!$B$2:$B$503,"&lt;="&amp;$A365)-SUMIFS('Weekly Purchases'!$N$2:$N$503,'Weekly Purchases'!$B$2:$B$503,"",'Weekly Purchases'!$A$2:$A$503,"&lt;="&amp;$A365))</f>
        <v/>
      </c>
      <c r="M365" s="8" t="str">
        <f>IF($A365="","",Settings!$B$4+SUMIFS($C$2:$C$495,$A$2:$A$495,"&lt;="&amp;$A365)-SUMIFS($K$2:$K$495,$A$2:$A$495,"&lt;="&amp;$A365)-SUMIFS('Weekly Purchases'!$O$2:$O$503,'Weekly Purchases'!$B$2:$B$503,"&lt;&gt;",'Weekly Purchases'!$B$2:$B$503,"&lt;="&amp;$A365)-SUMIFS('Weekly Purchases'!$O$2:$O$503,'Weekly Purchases'!$B$2:$B$503,"",'Weekly Purchases'!$A$2:$A$503,"&lt;="&amp;$A365))</f>
        <v/>
      </c>
      <c r="N365" s="8" t="str">
        <f t="shared" si="22"/>
        <v/>
      </c>
      <c r="O365" s="8" t="str">
        <f t="shared" si="23"/>
        <v/>
      </c>
      <c r="P365" s="4"/>
    </row>
    <row r="366" spans="1:16">
      <c r="A366" s="6"/>
      <c r="B366" s="7"/>
      <c r="C366" s="7"/>
      <c r="D366" s="8" t="str">
        <f t="shared" si="20"/>
        <v/>
      </c>
      <c r="E366" s="7"/>
      <c r="F366" s="7"/>
      <c r="G366" s="7"/>
      <c r="H366" s="7"/>
      <c r="I366" s="8" t="str">
        <f t="shared" si="21"/>
        <v/>
      </c>
      <c r="J366" s="8"/>
      <c r="K366" s="8"/>
      <c r="L366" s="8" t="str">
        <f>IF($A366="","",Settings!$B$3+SUMIFS($B$2:$B$495,$A$2:$A$495,"&lt;="&amp;$A366)-SUMIFS($J$2:$J$495,$A$2:$A$495,"&lt;="&amp;$A366)-SUMIFS('Weekly Purchases'!$N$2:$N$503,'Weekly Purchases'!$B$2:$B$503,"&lt;&gt;",'Weekly Purchases'!$B$2:$B$503,"&lt;="&amp;$A366)-SUMIFS('Weekly Purchases'!$N$2:$N$503,'Weekly Purchases'!$B$2:$B$503,"",'Weekly Purchases'!$A$2:$A$503,"&lt;="&amp;$A366))</f>
        <v/>
      </c>
      <c r="M366" s="8" t="str">
        <f>IF($A366="","",Settings!$B$4+SUMIFS($C$2:$C$495,$A$2:$A$495,"&lt;="&amp;$A366)-SUMIFS($K$2:$K$495,$A$2:$A$495,"&lt;="&amp;$A366)-SUMIFS('Weekly Purchases'!$O$2:$O$503,'Weekly Purchases'!$B$2:$B$503,"&lt;&gt;",'Weekly Purchases'!$B$2:$B$503,"&lt;="&amp;$A366)-SUMIFS('Weekly Purchases'!$O$2:$O$503,'Weekly Purchases'!$B$2:$B$503,"",'Weekly Purchases'!$A$2:$A$503,"&lt;="&amp;$A366))</f>
        <v/>
      </c>
      <c r="N366" s="8" t="str">
        <f t="shared" si="22"/>
        <v/>
      </c>
      <c r="O366" s="8" t="str">
        <f t="shared" si="23"/>
        <v/>
      </c>
      <c r="P366" s="4"/>
    </row>
    <row r="367" spans="1:16">
      <c r="A367" s="6"/>
      <c r="B367" s="7"/>
      <c r="C367" s="7"/>
      <c r="D367" s="8" t="str">
        <f t="shared" si="20"/>
        <v/>
      </c>
      <c r="E367" s="7"/>
      <c r="F367" s="7"/>
      <c r="G367" s="7"/>
      <c r="H367" s="7"/>
      <c r="I367" s="8" t="str">
        <f t="shared" si="21"/>
        <v/>
      </c>
      <c r="J367" s="8"/>
      <c r="K367" s="8"/>
      <c r="L367" s="8" t="str">
        <f>IF($A367="","",Settings!$B$3+SUMIFS($B$2:$B$495,$A$2:$A$495,"&lt;="&amp;$A367)-SUMIFS($J$2:$J$495,$A$2:$A$495,"&lt;="&amp;$A367)-SUMIFS('Weekly Purchases'!$N$2:$N$503,'Weekly Purchases'!$B$2:$B$503,"&lt;&gt;",'Weekly Purchases'!$B$2:$B$503,"&lt;="&amp;$A367)-SUMIFS('Weekly Purchases'!$N$2:$N$503,'Weekly Purchases'!$B$2:$B$503,"",'Weekly Purchases'!$A$2:$A$503,"&lt;="&amp;$A367))</f>
        <v/>
      </c>
      <c r="M367" s="8" t="str">
        <f>IF($A367="","",Settings!$B$4+SUMIFS($C$2:$C$495,$A$2:$A$495,"&lt;="&amp;$A367)-SUMIFS($K$2:$K$495,$A$2:$A$495,"&lt;="&amp;$A367)-SUMIFS('Weekly Purchases'!$O$2:$O$503,'Weekly Purchases'!$B$2:$B$503,"&lt;&gt;",'Weekly Purchases'!$B$2:$B$503,"&lt;="&amp;$A367)-SUMIFS('Weekly Purchases'!$O$2:$O$503,'Weekly Purchases'!$B$2:$B$503,"",'Weekly Purchases'!$A$2:$A$503,"&lt;="&amp;$A367))</f>
        <v/>
      </c>
      <c r="N367" s="8" t="str">
        <f t="shared" si="22"/>
        <v/>
      </c>
      <c r="O367" s="8" t="str">
        <f t="shared" si="23"/>
        <v/>
      </c>
      <c r="P367" s="4"/>
    </row>
    <row r="368" spans="1:16">
      <c r="A368" s="6"/>
      <c r="B368" s="7"/>
      <c r="C368" s="7"/>
      <c r="D368" s="8" t="str">
        <f t="shared" si="20"/>
        <v/>
      </c>
      <c r="E368" s="7"/>
      <c r="F368" s="7"/>
      <c r="G368" s="7"/>
      <c r="H368" s="7"/>
      <c r="I368" s="8" t="str">
        <f t="shared" si="21"/>
        <v/>
      </c>
      <c r="J368" s="8"/>
      <c r="K368" s="8"/>
      <c r="L368" s="8" t="str">
        <f>IF($A368="","",Settings!$B$3+SUMIFS($B$2:$B$495,$A$2:$A$495,"&lt;="&amp;$A368)-SUMIFS($J$2:$J$495,$A$2:$A$495,"&lt;="&amp;$A368)-SUMIFS('Weekly Purchases'!$N$2:$N$503,'Weekly Purchases'!$B$2:$B$503,"&lt;&gt;",'Weekly Purchases'!$B$2:$B$503,"&lt;="&amp;$A368)-SUMIFS('Weekly Purchases'!$N$2:$N$503,'Weekly Purchases'!$B$2:$B$503,"",'Weekly Purchases'!$A$2:$A$503,"&lt;="&amp;$A368))</f>
        <v/>
      </c>
      <c r="M368" s="8" t="str">
        <f>IF($A368="","",Settings!$B$4+SUMIFS($C$2:$C$495,$A$2:$A$495,"&lt;="&amp;$A368)-SUMIFS($K$2:$K$495,$A$2:$A$495,"&lt;="&amp;$A368)-SUMIFS('Weekly Purchases'!$O$2:$O$503,'Weekly Purchases'!$B$2:$B$503,"&lt;&gt;",'Weekly Purchases'!$B$2:$B$503,"&lt;="&amp;$A368)-SUMIFS('Weekly Purchases'!$O$2:$O$503,'Weekly Purchases'!$B$2:$B$503,"",'Weekly Purchases'!$A$2:$A$503,"&lt;="&amp;$A368))</f>
        <v/>
      </c>
      <c r="N368" s="8" t="str">
        <f t="shared" si="22"/>
        <v/>
      </c>
      <c r="O368" s="8" t="str">
        <f t="shared" si="23"/>
        <v/>
      </c>
      <c r="P368" s="4"/>
    </row>
    <row r="369" spans="1:16">
      <c r="A369" s="6"/>
      <c r="B369" s="7"/>
      <c r="C369" s="7"/>
      <c r="D369" s="8" t="str">
        <f t="shared" si="20"/>
        <v/>
      </c>
      <c r="E369" s="7"/>
      <c r="F369" s="7"/>
      <c r="G369" s="7"/>
      <c r="H369" s="7"/>
      <c r="I369" s="8" t="str">
        <f t="shared" si="21"/>
        <v/>
      </c>
      <c r="J369" s="8"/>
      <c r="K369" s="8"/>
      <c r="L369" s="8" t="str">
        <f>IF($A369="","",Settings!$B$3+SUMIFS($B$2:$B$495,$A$2:$A$495,"&lt;="&amp;$A369)-SUMIFS($J$2:$J$495,$A$2:$A$495,"&lt;="&amp;$A369)-SUMIFS('Weekly Purchases'!$N$2:$N$503,'Weekly Purchases'!$B$2:$B$503,"&lt;&gt;",'Weekly Purchases'!$B$2:$B$503,"&lt;="&amp;$A369)-SUMIFS('Weekly Purchases'!$N$2:$N$503,'Weekly Purchases'!$B$2:$B$503,"",'Weekly Purchases'!$A$2:$A$503,"&lt;="&amp;$A369))</f>
        <v/>
      </c>
      <c r="M369" s="8" t="str">
        <f>IF($A369="","",Settings!$B$4+SUMIFS($C$2:$C$495,$A$2:$A$495,"&lt;="&amp;$A369)-SUMIFS($K$2:$K$495,$A$2:$A$495,"&lt;="&amp;$A369)-SUMIFS('Weekly Purchases'!$O$2:$O$503,'Weekly Purchases'!$B$2:$B$503,"&lt;&gt;",'Weekly Purchases'!$B$2:$B$503,"&lt;="&amp;$A369)-SUMIFS('Weekly Purchases'!$O$2:$O$503,'Weekly Purchases'!$B$2:$B$503,"",'Weekly Purchases'!$A$2:$A$503,"&lt;="&amp;$A369))</f>
        <v/>
      </c>
      <c r="N369" s="8" t="str">
        <f t="shared" si="22"/>
        <v/>
      </c>
      <c r="O369" s="8" t="str">
        <f t="shared" si="23"/>
        <v/>
      </c>
      <c r="P369" s="4"/>
    </row>
    <row r="370" spans="1:16">
      <c r="A370" s="6"/>
      <c r="B370" s="7"/>
      <c r="C370" s="7"/>
      <c r="D370" s="8" t="str">
        <f t="shared" si="20"/>
        <v/>
      </c>
      <c r="E370" s="7"/>
      <c r="F370" s="7"/>
      <c r="G370" s="7"/>
      <c r="H370" s="7"/>
      <c r="I370" s="8" t="str">
        <f t="shared" si="21"/>
        <v/>
      </c>
      <c r="J370" s="8"/>
      <c r="K370" s="8"/>
      <c r="L370" s="8" t="str">
        <f>IF($A370="","",Settings!$B$3+SUMIFS($B$2:$B$495,$A$2:$A$495,"&lt;="&amp;$A370)-SUMIFS($J$2:$J$495,$A$2:$A$495,"&lt;="&amp;$A370)-SUMIFS('Weekly Purchases'!$N$2:$N$503,'Weekly Purchases'!$B$2:$B$503,"&lt;&gt;",'Weekly Purchases'!$B$2:$B$503,"&lt;="&amp;$A370)-SUMIFS('Weekly Purchases'!$N$2:$N$503,'Weekly Purchases'!$B$2:$B$503,"",'Weekly Purchases'!$A$2:$A$503,"&lt;="&amp;$A370))</f>
        <v/>
      </c>
      <c r="M370" s="8" t="str">
        <f>IF($A370="","",Settings!$B$4+SUMIFS($C$2:$C$495,$A$2:$A$495,"&lt;="&amp;$A370)-SUMIFS($K$2:$K$495,$A$2:$A$495,"&lt;="&amp;$A370)-SUMIFS('Weekly Purchases'!$O$2:$O$503,'Weekly Purchases'!$B$2:$B$503,"&lt;&gt;",'Weekly Purchases'!$B$2:$B$503,"&lt;="&amp;$A370)-SUMIFS('Weekly Purchases'!$O$2:$O$503,'Weekly Purchases'!$B$2:$B$503,"",'Weekly Purchases'!$A$2:$A$503,"&lt;="&amp;$A370))</f>
        <v/>
      </c>
      <c r="N370" s="8" t="str">
        <f t="shared" si="22"/>
        <v/>
      </c>
      <c r="O370" s="8" t="str">
        <f t="shared" si="23"/>
        <v/>
      </c>
      <c r="P370" s="4"/>
    </row>
    <row r="371" spans="1:16">
      <c r="A371" s="6"/>
      <c r="B371" s="7"/>
      <c r="C371" s="7"/>
      <c r="D371" s="8" t="str">
        <f t="shared" si="20"/>
        <v/>
      </c>
      <c r="E371" s="7"/>
      <c r="F371" s="7"/>
      <c r="G371" s="7"/>
      <c r="H371" s="7"/>
      <c r="I371" s="8" t="str">
        <f t="shared" si="21"/>
        <v/>
      </c>
      <c r="J371" s="8"/>
      <c r="K371" s="8"/>
      <c r="L371" s="8" t="str">
        <f>IF($A371="","",Settings!$B$3+SUMIFS($B$2:$B$495,$A$2:$A$495,"&lt;="&amp;$A371)-SUMIFS($J$2:$J$495,$A$2:$A$495,"&lt;="&amp;$A371)-SUMIFS('Weekly Purchases'!$N$2:$N$503,'Weekly Purchases'!$B$2:$B$503,"&lt;&gt;",'Weekly Purchases'!$B$2:$B$503,"&lt;="&amp;$A371)-SUMIFS('Weekly Purchases'!$N$2:$N$503,'Weekly Purchases'!$B$2:$B$503,"",'Weekly Purchases'!$A$2:$A$503,"&lt;="&amp;$A371))</f>
        <v/>
      </c>
      <c r="M371" s="8" t="str">
        <f>IF($A371="","",Settings!$B$4+SUMIFS($C$2:$C$495,$A$2:$A$495,"&lt;="&amp;$A371)-SUMIFS($K$2:$K$495,$A$2:$A$495,"&lt;="&amp;$A371)-SUMIFS('Weekly Purchases'!$O$2:$O$503,'Weekly Purchases'!$B$2:$B$503,"&lt;&gt;",'Weekly Purchases'!$B$2:$B$503,"&lt;="&amp;$A371)-SUMIFS('Weekly Purchases'!$O$2:$O$503,'Weekly Purchases'!$B$2:$B$503,"",'Weekly Purchases'!$A$2:$A$503,"&lt;="&amp;$A371))</f>
        <v/>
      </c>
      <c r="N371" s="8" t="str">
        <f t="shared" si="22"/>
        <v/>
      </c>
      <c r="O371" s="8" t="str">
        <f t="shared" si="23"/>
        <v/>
      </c>
      <c r="P371" s="4"/>
    </row>
    <row r="372" spans="1:16">
      <c r="A372" s="6"/>
      <c r="B372" s="7"/>
      <c r="C372" s="7"/>
      <c r="D372" s="8" t="str">
        <f t="shared" si="20"/>
        <v/>
      </c>
      <c r="E372" s="7"/>
      <c r="F372" s="7"/>
      <c r="G372" s="7"/>
      <c r="H372" s="7"/>
      <c r="I372" s="8" t="str">
        <f t="shared" si="21"/>
        <v/>
      </c>
      <c r="J372" s="8"/>
      <c r="K372" s="8"/>
      <c r="L372" s="8" t="str">
        <f>IF($A372="","",Settings!$B$3+SUMIFS($B$2:$B$495,$A$2:$A$495,"&lt;="&amp;$A372)-SUMIFS($J$2:$J$495,$A$2:$A$495,"&lt;="&amp;$A372)-SUMIFS('Weekly Purchases'!$N$2:$N$503,'Weekly Purchases'!$B$2:$B$503,"&lt;&gt;",'Weekly Purchases'!$B$2:$B$503,"&lt;="&amp;$A372)-SUMIFS('Weekly Purchases'!$N$2:$N$503,'Weekly Purchases'!$B$2:$B$503,"",'Weekly Purchases'!$A$2:$A$503,"&lt;="&amp;$A372))</f>
        <v/>
      </c>
      <c r="M372" s="8" t="str">
        <f>IF($A372="","",Settings!$B$4+SUMIFS($C$2:$C$495,$A$2:$A$495,"&lt;="&amp;$A372)-SUMIFS($K$2:$K$495,$A$2:$A$495,"&lt;="&amp;$A372)-SUMIFS('Weekly Purchases'!$O$2:$O$503,'Weekly Purchases'!$B$2:$B$503,"&lt;&gt;",'Weekly Purchases'!$B$2:$B$503,"&lt;="&amp;$A372)-SUMIFS('Weekly Purchases'!$O$2:$O$503,'Weekly Purchases'!$B$2:$B$503,"",'Weekly Purchases'!$A$2:$A$503,"&lt;="&amp;$A372))</f>
        <v/>
      </c>
      <c r="N372" s="8" t="str">
        <f t="shared" si="22"/>
        <v/>
      </c>
      <c r="O372" s="8" t="str">
        <f t="shared" si="23"/>
        <v/>
      </c>
      <c r="P372" s="4"/>
    </row>
    <row r="373" spans="1:16">
      <c r="A373" s="6"/>
      <c r="B373" s="7"/>
      <c r="C373" s="7"/>
      <c r="D373" s="8" t="str">
        <f t="shared" si="20"/>
        <v/>
      </c>
      <c r="E373" s="7"/>
      <c r="F373" s="7"/>
      <c r="G373" s="7"/>
      <c r="H373" s="7"/>
      <c r="I373" s="8" t="str">
        <f t="shared" si="21"/>
        <v/>
      </c>
      <c r="J373" s="8"/>
      <c r="K373" s="8"/>
      <c r="L373" s="8" t="str">
        <f>IF($A373="","",Settings!$B$3+SUMIFS($B$2:$B$495,$A$2:$A$495,"&lt;="&amp;$A373)-SUMIFS($J$2:$J$495,$A$2:$A$495,"&lt;="&amp;$A373)-SUMIFS('Weekly Purchases'!$N$2:$N$503,'Weekly Purchases'!$B$2:$B$503,"&lt;&gt;",'Weekly Purchases'!$B$2:$B$503,"&lt;="&amp;$A373)-SUMIFS('Weekly Purchases'!$N$2:$N$503,'Weekly Purchases'!$B$2:$B$503,"",'Weekly Purchases'!$A$2:$A$503,"&lt;="&amp;$A373))</f>
        <v/>
      </c>
      <c r="M373" s="8" t="str">
        <f>IF($A373="","",Settings!$B$4+SUMIFS($C$2:$C$495,$A$2:$A$495,"&lt;="&amp;$A373)-SUMIFS($K$2:$K$495,$A$2:$A$495,"&lt;="&amp;$A373)-SUMIFS('Weekly Purchases'!$O$2:$O$503,'Weekly Purchases'!$B$2:$B$503,"&lt;&gt;",'Weekly Purchases'!$B$2:$B$503,"&lt;="&amp;$A373)-SUMIFS('Weekly Purchases'!$O$2:$O$503,'Weekly Purchases'!$B$2:$B$503,"",'Weekly Purchases'!$A$2:$A$503,"&lt;="&amp;$A373))</f>
        <v/>
      </c>
      <c r="N373" s="8" t="str">
        <f t="shared" si="22"/>
        <v/>
      </c>
      <c r="O373" s="8" t="str">
        <f t="shared" si="23"/>
        <v/>
      </c>
      <c r="P373" s="4"/>
    </row>
    <row r="374" spans="1:16">
      <c r="A374" s="6"/>
      <c r="B374" s="7"/>
      <c r="C374" s="7"/>
      <c r="D374" s="8" t="str">
        <f t="shared" si="20"/>
        <v/>
      </c>
      <c r="E374" s="7"/>
      <c r="F374" s="7"/>
      <c r="G374" s="7"/>
      <c r="H374" s="7"/>
      <c r="I374" s="8" t="str">
        <f t="shared" si="21"/>
        <v/>
      </c>
      <c r="J374" s="8"/>
      <c r="K374" s="8"/>
      <c r="L374" s="8" t="str">
        <f>IF($A374="","",Settings!$B$3+SUMIFS($B$2:$B$495,$A$2:$A$495,"&lt;="&amp;$A374)-SUMIFS($J$2:$J$495,$A$2:$A$495,"&lt;="&amp;$A374)-SUMIFS('Weekly Purchases'!$N$2:$N$503,'Weekly Purchases'!$B$2:$B$503,"&lt;&gt;",'Weekly Purchases'!$B$2:$B$503,"&lt;="&amp;$A374)-SUMIFS('Weekly Purchases'!$N$2:$N$503,'Weekly Purchases'!$B$2:$B$503,"",'Weekly Purchases'!$A$2:$A$503,"&lt;="&amp;$A374))</f>
        <v/>
      </c>
      <c r="M374" s="8" t="str">
        <f>IF($A374="","",Settings!$B$4+SUMIFS($C$2:$C$495,$A$2:$A$495,"&lt;="&amp;$A374)-SUMIFS($K$2:$K$495,$A$2:$A$495,"&lt;="&amp;$A374)-SUMIFS('Weekly Purchases'!$O$2:$O$503,'Weekly Purchases'!$B$2:$B$503,"&lt;&gt;",'Weekly Purchases'!$B$2:$B$503,"&lt;="&amp;$A374)-SUMIFS('Weekly Purchases'!$O$2:$O$503,'Weekly Purchases'!$B$2:$B$503,"",'Weekly Purchases'!$A$2:$A$503,"&lt;="&amp;$A374))</f>
        <v/>
      </c>
      <c r="N374" s="8" t="str">
        <f t="shared" si="22"/>
        <v/>
      </c>
      <c r="O374" s="8" t="str">
        <f t="shared" si="23"/>
        <v/>
      </c>
      <c r="P374" s="4"/>
    </row>
    <row r="375" spans="1:16">
      <c r="A375" s="6"/>
      <c r="B375" s="7"/>
      <c r="C375" s="7"/>
      <c r="D375" s="8" t="str">
        <f t="shared" si="20"/>
        <v/>
      </c>
      <c r="E375" s="7"/>
      <c r="F375" s="7"/>
      <c r="G375" s="7"/>
      <c r="H375" s="7"/>
      <c r="I375" s="8" t="str">
        <f t="shared" si="21"/>
        <v/>
      </c>
      <c r="J375" s="8"/>
      <c r="K375" s="8"/>
      <c r="L375" s="8" t="str">
        <f>IF($A375="","",Settings!$B$3+SUMIFS($B$2:$B$495,$A$2:$A$495,"&lt;="&amp;$A375)-SUMIFS($J$2:$J$495,$A$2:$A$495,"&lt;="&amp;$A375)-SUMIFS('Weekly Purchases'!$N$2:$N$503,'Weekly Purchases'!$B$2:$B$503,"&lt;&gt;",'Weekly Purchases'!$B$2:$B$503,"&lt;="&amp;$A375)-SUMIFS('Weekly Purchases'!$N$2:$N$503,'Weekly Purchases'!$B$2:$B$503,"",'Weekly Purchases'!$A$2:$A$503,"&lt;="&amp;$A375))</f>
        <v/>
      </c>
      <c r="M375" s="8" t="str">
        <f>IF($A375="","",Settings!$B$4+SUMIFS($C$2:$C$495,$A$2:$A$495,"&lt;="&amp;$A375)-SUMIFS($K$2:$K$495,$A$2:$A$495,"&lt;="&amp;$A375)-SUMIFS('Weekly Purchases'!$O$2:$O$503,'Weekly Purchases'!$B$2:$B$503,"&lt;&gt;",'Weekly Purchases'!$B$2:$B$503,"&lt;="&amp;$A375)-SUMIFS('Weekly Purchases'!$O$2:$O$503,'Weekly Purchases'!$B$2:$B$503,"",'Weekly Purchases'!$A$2:$A$503,"&lt;="&amp;$A375))</f>
        <v/>
      </c>
      <c r="N375" s="8" t="str">
        <f t="shared" si="22"/>
        <v/>
      </c>
      <c r="O375" s="8" t="str">
        <f t="shared" si="23"/>
        <v/>
      </c>
      <c r="P375" s="4"/>
    </row>
    <row r="376" spans="1:16">
      <c r="A376" s="6"/>
      <c r="B376" s="7"/>
      <c r="C376" s="7"/>
      <c r="D376" s="8" t="str">
        <f t="shared" si="20"/>
        <v/>
      </c>
      <c r="E376" s="7"/>
      <c r="F376" s="7"/>
      <c r="G376" s="7"/>
      <c r="H376" s="7"/>
      <c r="I376" s="8" t="str">
        <f t="shared" si="21"/>
        <v/>
      </c>
      <c r="J376" s="8"/>
      <c r="K376" s="8"/>
      <c r="L376" s="8" t="str">
        <f>IF($A376="","",Settings!$B$3+SUMIFS($B$2:$B$495,$A$2:$A$495,"&lt;="&amp;$A376)-SUMIFS($J$2:$J$495,$A$2:$A$495,"&lt;="&amp;$A376)-SUMIFS('Weekly Purchases'!$N$2:$N$503,'Weekly Purchases'!$B$2:$B$503,"&lt;&gt;",'Weekly Purchases'!$B$2:$B$503,"&lt;="&amp;$A376)-SUMIFS('Weekly Purchases'!$N$2:$N$503,'Weekly Purchases'!$B$2:$B$503,"",'Weekly Purchases'!$A$2:$A$503,"&lt;="&amp;$A376))</f>
        <v/>
      </c>
      <c r="M376" s="8" t="str">
        <f>IF($A376="","",Settings!$B$4+SUMIFS($C$2:$C$495,$A$2:$A$495,"&lt;="&amp;$A376)-SUMIFS($K$2:$K$495,$A$2:$A$495,"&lt;="&amp;$A376)-SUMIFS('Weekly Purchases'!$O$2:$O$503,'Weekly Purchases'!$B$2:$B$503,"&lt;&gt;",'Weekly Purchases'!$B$2:$B$503,"&lt;="&amp;$A376)-SUMIFS('Weekly Purchases'!$O$2:$O$503,'Weekly Purchases'!$B$2:$B$503,"",'Weekly Purchases'!$A$2:$A$503,"&lt;="&amp;$A376))</f>
        <v/>
      </c>
      <c r="N376" s="8" t="str">
        <f t="shared" si="22"/>
        <v/>
      </c>
      <c r="O376" s="8" t="str">
        <f t="shared" si="23"/>
        <v/>
      </c>
      <c r="P376" s="4"/>
    </row>
    <row r="377" spans="1:16">
      <c r="A377" s="6"/>
      <c r="B377" s="7"/>
      <c r="C377" s="7"/>
      <c r="D377" s="8" t="str">
        <f t="shared" si="20"/>
        <v/>
      </c>
      <c r="E377" s="7"/>
      <c r="F377" s="7"/>
      <c r="G377" s="7"/>
      <c r="H377" s="7"/>
      <c r="I377" s="8" t="str">
        <f t="shared" si="21"/>
        <v/>
      </c>
      <c r="J377" s="8"/>
      <c r="K377" s="8"/>
      <c r="L377" s="8" t="str">
        <f>IF($A377="","",Settings!$B$3+SUMIFS($B$2:$B$495,$A$2:$A$495,"&lt;="&amp;$A377)-SUMIFS($J$2:$J$495,$A$2:$A$495,"&lt;="&amp;$A377)-SUMIFS('Weekly Purchases'!$N$2:$N$503,'Weekly Purchases'!$B$2:$B$503,"&lt;&gt;",'Weekly Purchases'!$B$2:$B$503,"&lt;="&amp;$A377)-SUMIFS('Weekly Purchases'!$N$2:$N$503,'Weekly Purchases'!$B$2:$B$503,"",'Weekly Purchases'!$A$2:$A$503,"&lt;="&amp;$A377))</f>
        <v/>
      </c>
      <c r="M377" s="8" t="str">
        <f>IF($A377="","",Settings!$B$4+SUMIFS($C$2:$C$495,$A$2:$A$495,"&lt;="&amp;$A377)-SUMIFS($K$2:$K$495,$A$2:$A$495,"&lt;="&amp;$A377)-SUMIFS('Weekly Purchases'!$O$2:$O$503,'Weekly Purchases'!$B$2:$B$503,"&lt;&gt;",'Weekly Purchases'!$B$2:$B$503,"&lt;="&amp;$A377)-SUMIFS('Weekly Purchases'!$O$2:$O$503,'Weekly Purchases'!$B$2:$B$503,"",'Weekly Purchases'!$A$2:$A$503,"&lt;="&amp;$A377))</f>
        <v/>
      </c>
      <c r="N377" s="8" t="str">
        <f t="shared" si="22"/>
        <v/>
      </c>
      <c r="O377" s="8" t="str">
        <f t="shared" si="23"/>
        <v/>
      </c>
      <c r="P377" s="4"/>
    </row>
    <row r="378" spans="1:16">
      <c r="A378" s="6"/>
      <c r="B378" s="7"/>
      <c r="C378" s="7"/>
      <c r="D378" s="8" t="str">
        <f t="shared" ref="D378:D441" si="24">IF($A378="","",SUM($B378:$C378))</f>
        <v/>
      </c>
      <c r="E378" s="7"/>
      <c r="F378" s="7"/>
      <c r="G378" s="7"/>
      <c r="H378" s="7"/>
      <c r="I378" s="8" t="str">
        <f t="shared" ref="I378:I441" si="25">IF($A378="","",SUM($E378:$H378))</f>
        <v/>
      </c>
      <c r="J378" s="8"/>
      <c r="K378" s="8"/>
      <c r="L378" s="8" t="str">
        <f>IF($A378="","",Settings!$B$3+SUMIFS($B$2:$B$495,$A$2:$A$495,"&lt;="&amp;$A378)-SUMIFS($J$2:$J$495,$A$2:$A$495,"&lt;="&amp;$A378)-SUMIFS('Weekly Purchases'!$N$2:$N$503,'Weekly Purchases'!$B$2:$B$503,"&lt;&gt;",'Weekly Purchases'!$B$2:$B$503,"&lt;="&amp;$A378)-SUMIFS('Weekly Purchases'!$N$2:$N$503,'Weekly Purchases'!$B$2:$B$503,"",'Weekly Purchases'!$A$2:$A$503,"&lt;="&amp;$A378))</f>
        <v/>
      </c>
      <c r="M378" s="8" t="str">
        <f>IF($A378="","",Settings!$B$4+SUMIFS($C$2:$C$495,$A$2:$A$495,"&lt;="&amp;$A378)-SUMIFS($K$2:$K$495,$A$2:$A$495,"&lt;="&amp;$A378)-SUMIFS('Weekly Purchases'!$O$2:$O$503,'Weekly Purchases'!$B$2:$B$503,"&lt;&gt;",'Weekly Purchases'!$B$2:$B$503,"&lt;="&amp;$A378)-SUMIFS('Weekly Purchases'!$O$2:$O$503,'Weekly Purchases'!$B$2:$B$503,"",'Weekly Purchases'!$A$2:$A$503,"&lt;="&amp;$A378))</f>
        <v/>
      </c>
      <c r="N378" s="8" t="str">
        <f t="shared" ref="N378:N441" si="26">IF($A378="","",L378+M378)</f>
        <v/>
      </c>
      <c r="O378" s="8" t="str">
        <f t="shared" ref="O378:O441" si="27">IF($A378="","",D378-I378)</f>
        <v/>
      </c>
      <c r="P378" s="4"/>
    </row>
    <row r="379" spans="1:16">
      <c r="A379" s="6"/>
      <c r="B379" s="7"/>
      <c r="C379" s="7"/>
      <c r="D379" s="8" t="str">
        <f t="shared" si="24"/>
        <v/>
      </c>
      <c r="E379" s="7"/>
      <c r="F379" s="7"/>
      <c r="G379" s="7"/>
      <c r="H379" s="7"/>
      <c r="I379" s="8" t="str">
        <f t="shared" si="25"/>
        <v/>
      </c>
      <c r="J379" s="8"/>
      <c r="K379" s="8"/>
      <c r="L379" s="8" t="str">
        <f>IF($A379="","",Settings!$B$3+SUMIFS($B$2:$B$495,$A$2:$A$495,"&lt;="&amp;$A379)-SUMIFS($J$2:$J$495,$A$2:$A$495,"&lt;="&amp;$A379)-SUMIFS('Weekly Purchases'!$N$2:$N$503,'Weekly Purchases'!$B$2:$B$503,"&lt;&gt;",'Weekly Purchases'!$B$2:$B$503,"&lt;="&amp;$A379)-SUMIFS('Weekly Purchases'!$N$2:$N$503,'Weekly Purchases'!$B$2:$B$503,"",'Weekly Purchases'!$A$2:$A$503,"&lt;="&amp;$A379))</f>
        <v/>
      </c>
      <c r="M379" s="8" t="str">
        <f>IF($A379="","",Settings!$B$4+SUMIFS($C$2:$C$495,$A$2:$A$495,"&lt;="&amp;$A379)-SUMIFS($K$2:$K$495,$A$2:$A$495,"&lt;="&amp;$A379)-SUMIFS('Weekly Purchases'!$O$2:$O$503,'Weekly Purchases'!$B$2:$B$503,"&lt;&gt;",'Weekly Purchases'!$B$2:$B$503,"&lt;="&amp;$A379)-SUMIFS('Weekly Purchases'!$O$2:$O$503,'Weekly Purchases'!$B$2:$B$503,"",'Weekly Purchases'!$A$2:$A$503,"&lt;="&amp;$A379))</f>
        <v/>
      </c>
      <c r="N379" s="8" t="str">
        <f t="shared" si="26"/>
        <v/>
      </c>
      <c r="O379" s="8" t="str">
        <f t="shared" si="27"/>
        <v/>
      </c>
      <c r="P379" s="4"/>
    </row>
    <row r="380" spans="1:16">
      <c r="A380" s="6"/>
      <c r="B380" s="7"/>
      <c r="C380" s="7"/>
      <c r="D380" s="8" t="str">
        <f t="shared" si="24"/>
        <v/>
      </c>
      <c r="E380" s="7"/>
      <c r="F380" s="7"/>
      <c r="G380" s="7"/>
      <c r="H380" s="7"/>
      <c r="I380" s="8" t="str">
        <f t="shared" si="25"/>
        <v/>
      </c>
      <c r="J380" s="8"/>
      <c r="K380" s="8"/>
      <c r="L380" s="8" t="str">
        <f>IF($A380="","",Settings!$B$3+SUMIFS($B$2:$B$495,$A$2:$A$495,"&lt;="&amp;$A380)-SUMIFS($J$2:$J$495,$A$2:$A$495,"&lt;="&amp;$A380)-SUMIFS('Weekly Purchases'!$N$2:$N$503,'Weekly Purchases'!$B$2:$B$503,"&lt;&gt;",'Weekly Purchases'!$B$2:$B$503,"&lt;="&amp;$A380)-SUMIFS('Weekly Purchases'!$N$2:$N$503,'Weekly Purchases'!$B$2:$B$503,"",'Weekly Purchases'!$A$2:$A$503,"&lt;="&amp;$A380))</f>
        <v/>
      </c>
      <c r="M380" s="8" t="str">
        <f>IF($A380="","",Settings!$B$4+SUMIFS($C$2:$C$495,$A$2:$A$495,"&lt;="&amp;$A380)-SUMIFS($K$2:$K$495,$A$2:$A$495,"&lt;="&amp;$A380)-SUMIFS('Weekly Purchases'!$O$2:$O$503,'Weekly Purchases'!$B$2:$B$503,"&lt;&gt;",'Weekly Purchases'!$B$2:$B$503,"&lt;="&amp;$A380)-SUMIFS('Weekly Purchases'!$O$2:$O$503,'Weekly Purchases'!$B$2:$B$503,"",'Weekly Purchases'!$A$2:$A$503,"&lt;="&amp;$A380))</f>
        <v/>
      </c>
      <c r="N380" s="8" t="str">
        <f t="shared" si="26"/>
        <v/>
      </c>
      <c r="O380" s="8" t="str">
        <f t="shared" si="27"/>
        <v/>
      </c>
      <c r="P380" s="4"/>
    </row>
    <row r="381" spans="1:16">
      <c r="A381" s="6"/>
      <c r="B381" s="7"/>
      <c r="C381" s="7"/>
      <c r="D381" s="8" t="str">
        <f t="shared" si="24"/>
        <v/>
      </c>
      <c r="E381" s="7"/>
      <c r="F381" s="7"/>
      <c r="G381" s="7"/>
      <c r="H381" s="7"/>
      <c r="I381" s="8" t="str">
        <f t="shared" si="25"/>
        <v/>
      </c>
      <c r="J381" s="8"/>
      <c r="K381" s="8"/>
      <c r="L381" s="8" t="str">
        <f>IF($A381="","",Settings!$B$3+SUMIFS($B$2:$B$495,$A$2:$A$495,"&lt;="&amp;$A381)-SUMIFS($J$2:$J$495,$A$2:$A$495,"&lt;="&amp;$A381)-SUMIFS('Weekly Purchases'!$N$2:$N$503,'Weekly Purchases'!$B$2:$B$503,"&lt;&gt;",'Weekly Purchases'!$B$2:$B$503,"&lt;="&amp;$A381)-SUMIFS('Weekly Purchases'!$N$2:$N$503,'Weekly Purchases'!$B$2:$B$503,"",'Weekly Purchases'!$A$2:$A$503,"&lt;="&amp;$A381))</f>
        <v/>
      </c>
      <c r="M381" s="8" t="str">
        <f>IF($A381="","",Settings!$B$4+SUMIFS($C$2:$C$495,$A$2:$A$495,"&lt;="&amp;$A381)-SUMIFS($K$2:$K$495,$A$2:$A$495,"&lt;="&amp;$A381)-SUMIFS('Weekly Purchases'!$O$2:$O$503,'Weekly Purchases'!$B$2:$B$503,"&lt;&gt;",'Weekly Purchases'!$B$2:$B$503,"&lt;="&amp;$A381)-SUMIFS('Weekly Purchases'!$O$2:$O$503,'Weekly Purchases'!$B$2:$B$503,"",'Weekly Purchases'!$A$2:$A$503,"&lt;="&amp;$A381))</f>
        <v/>
      </c>
      <c r="N381" s="8" t="str">
        <f t="shared" si="26"/>
        <v/>
      </c>
      <c r="O381" s="8" t="str">
        <f t="shared" si="27"/>
        <v/>
      </c>
      <c r="P381" s="4"/>
    </row>
    <row r="382" spans="1:16">
      <c r="A382" s="6"/>
      <c r="B382" s="7"/>
      <c r="C382" s="7"/>
      <c r="D382" s="8" t="str">
        <f t="shared" si="24"/>
        <v/>
      </c>
      <c r="E382" s="7"/>
      <c r="F382" s="7"/>
      <c r="G382" s="7"/>
      <c r="H382" s="7"/>
      <c r="I382" s="8" t="str">
        <f t="shared" si="25"/>
        <v/>
      </c>
      <c r="J382" s="8"/>
      <c r="K382" s="8"/>
      <c r="L382" s="8" t="str">
        <f>IF($A382="","",Settings!$B$3+SUMIFS($B$2:$B$495,$A$2:$A$495,"&lt;="&amp;$A382)-SUMIFS($J$2:$J$495,$A$2:$A$495,"&lt;="&amp;$A382)-SUMIFS('Weekly Purchases'!$N$2:$N$503,'Weekly Purchases'!$B$2:$B$503,"&lt;&gt;",'Weekly Purchases'!$B$2:$B$503,"&lt;="&amp;$A382)-SUMIFS('Weekly Purchases'!$N$2:$N$503,'Weekly Purchases'!$B$2:$B$503,"",'Weekly Purchases'!$A$2:$A$503,"&lt;="&amp;$A382))</f>
        <v/>
      </c>
      <c r="M382" s="8" t="str">
        <f>IF($A382="","",Settings!$B$4+SUMIFS($C$2:$C$495,$A$2:$A$495,"&lt;="&amp;$A382)-SUMIFS($K$2:$K$495,$A$2:$A$495,"&lt;="&amp;$A382)-SUMIFS('Weekly Purchases'!$O$2:$O$503,'Weekly Purchases'!$B$2:$B$503,"&lt;&gt;",'Weekly Purchases'!$B$2:$B$503,"&lt;="&amp;$A382)-SUMIFS('Weekly Purchases'!$O$2:$O$503,'Weekly Purchases'!$B$2:$B$503,"",'Weekly Purchases'!$A$2:$A$503,"&lt;="&amp;$A382))</f>
        <v/>
      </c>
      <c r="N382" s="8" t="str">
        <f t="shared" si="26"/>
        <v/>
      </c>
      <c r="O382" s="8" t="str">
        <f t="shared" si="27"/>
        <v/>
      </c>
      <c r="P382" s="4"/>
    </row>
    <row r="383" spans="1:16">
      <c r="A383" s="6"/>
      <c r="B383" s="7"/>
      <c r="C383" s="7"/>
      <c r="D383" s="8" t="str">
        <f t="shared" si="24"/>
        <v/>
      </c>
      <c r="E383" s="7"/>
      <c r="F383" s="7"/>
      <c r="G383" s="7"/>
      <c r="H383" s="7"/>
      <c r="I383" s="8" t="str">
        <f t="shared" si="25"/>
        <v/>
      </c>
      <c r="J383" s="8"/>
      <c r="K383" s="8"/>
      <c r="L383" s="8" t="str">
        <f>IF($A383="","",Settings!$B$3+SUMIFS($B$2:$B$495,$A$2:$A$495,"&lt;="&amp;$A383)-SUMIFS($J$2:$J$495,$A$2:$A$495,"&lt;="&amp;$A383)-SUMIFS('Weekly Purchases'!$N$2:$N$503,'Weekly Purchases'!$B$2:$B$503,"&lt;&gt;",'Weekly Purchases'!$B$2:$B$503,"&lt;="&amp;$A383)-SUMIFS('Weekly Purchases'!$N$2:$N$503,'Weekly Purchases'!$B$2:$B$503,"",'Weekly Purchases'!$A$2:$A$503,"&lt;="&amp;$A383))</f>
        <v/>
      </c>
      <c r="M383" s="8" t="str">
        <f>IF($A383="","",Settings!$B$4+SUMIFS($C$2:$C$495,$A$2:$A$495,"&lt;="&amp;$A383)-SUMIFS($K$2:$K$495,$A$2:$A$495,"&lt;="&amp;$A383)-SUMIFS('Weekly Purchases'!$O$2:$O$503,'Weekly Purchases'!$B$2:$B$503,"&lt;&gt;",'Weekly Purchases'!$B$2:$B$503,"&lt;="&amp;$A383)-SUMIFS('Weekly Purchases'!$O$2:$O$503,'Weekly Purchases'!$B$2:$B$503,"",'Weekly Purchases'!$A$2:$A$503,"&lt;="&amp;$A383))</f>
        <v/>
      </c>
      <c r="N383" s="8" t="str">
        <f t="shared" si="26"/>
        <v/>
      </c>
      <c r="O383" s="8" t="str">
        <f t="shared" si="27"/>
        <v/>
      </c>
      <c r="P383" s="4"/>
    </row>
    <row r="384" spans="1:16">
      <c r="A384" s="6"/>
      <c r="B384" s="7"/>
      <c r="C384" s="7"/>
      <c r="D384" s="8" t="str">
        <f t="shared" si="24"/>
        <v/>
      </c>
      <c r="E384" s="7"/>
      <c r="F384" s="7"/>
      <c r="G384" s="7"/>
      <c r="H384" s="7"/>
      <c r="I384" s="8" t="str">
        <f t="shared" si="25"/>
        <v/>
      </c>
      <c r="J384" s="8"/>
      <c r="K384" s="8"/>
      <c r="L384" s="8" t="str">
        <f>IF($A384="","",Settings!$B$3+SUMIFS($B$2:$B$495,$A$2:$A$495,"&lt;="&amp;$A384)-SUMIFS($J$2:$J$495,$A$2:$A$495,"&lt;="&amp;$A384)-SUMIFS('Weekly Purchases'!$N$2:$N$503,'Weekly Purchases'!$B$2:$B$503,"&lt;&gt;",'Weekly Purchases'!$B$2:$B$503,"&lt;="&amp;$A384)-SUMIFS('Weekly Purchases'!$N$2:$N$503,'Weekly Purchases'!$B$2:$B$503,"",'Weekly Purchases'!$A$2:$A$503,"&lt;="&amp;$A384))</f>
        <v/>
      </c>
      <c r="M384" s="8" t="str">
        <f>IF($A384="","",Settings!$B$4+SUMIFS($C$2:$C$495,$A$2:$A$495,"&lt;="&amp;$A384)-SUMIFS($K$2:$K$495,$A$2:$A$495,"&lt;="&amp;$A384)-SUMIFS('Weekly Purchases'!$O$2:$O$503,'Weekly Purchases'!$B$2:$B$503,"&lt;&gt;",'Weekly Purchases'!$B$2:$B$503,"&lt;="&amp;$A384)-SUMIFS('Weekly Purchases'!$O$2:$O$503,'Weekly Purchases'!$B$2:$B$503,"",'Weekly Purchases'!$A$2:$A$503,"&lt;="&amp;$A384))</f>
        <v/>
      </c>
      <c r="N384" s="8" t="str">
        <f t="shared" si="26"/>
        <v/>
      </c>
      <c r="O384" s="8" t="str">
        <f t="shared" si="27"/>
        <v/>
      </c>
      <c r="P384" s="4"/>
    </row>
    <row r="385" spans="1:16">
      <c r="A385" s="6"/>
      <c r="B385" s="7"/>
      <c r="C385" s="7"/>
      <c r="D385" s="8" t="str">
        <f t="shared" si="24"/>
        <v/>
      </c>
      <c r="E385" s="7"/>
      <c r="F385" s="7"/>
      <c r="G385" s="7"/>
      <c r="H385" s="7"/>
      <c r="I385" s="8" t="str">
        <f t="shared" si="25"/>
        <v/>
      </c>
      <c r="J385" s="8"/>
      <c r="K385" s="8"/>
      <c r="L385" s="8" t="str">
        <f>IF($A385="","",Settings!$B$3+SUMIFS($B$2:$B$495,$A$2:$A$495,"&lt;="&amp;$A385)-SUMIFS($J$2:$J$495,$A$2:$A$495,"&lt;="&amp;$A385)-SUMIFS('Weekly Purchases'!$N$2:$N$503,'Weekly Purchases'!$B$2:$B$503,"&lt;&gt;",'Weekly Purchases'!$B$2:$B$503,"&lt;="&amp;$A385)-SUMIFS('Weekly Purchases'!$N$2:$N$503,'Weekly Purchases'!$B$2:$B$503,"",'Weekly Purchases'!$A$2:$A$503,"&lt;="&amp;$A385))</f>
        <v/>
      </c>
      <c r="M385" s="8" t="str">
        <f>IF($A385="","",Settings!$B$4+SUMIFS($C$2:$C$495,$A$2:$A$495,"&lt;="&amp;$A385)-SUMIFS($K$2:$K$495,$A$2:$A$495,"&lt;="&amp;$A385)-SUMIFS('Weekly Purchases'!$O$2:$O$503,'Weekly Purchases'!$B$2:$B$503,"&lt;&gt;",'Weekly Purchases'!$B$2:$B$503,"&lt;="&amp;$A385)-SUMIFS('Weekly Purchases'!$O$2:$O$503,'Weekly Purchases'!$B$2:$B$503,"",'Weekly Purchases'!$A$2:$A$503,"&lt;="&amp;$A385))</f>
        <v/>
      </c>
      <c r="N385" s="8" t="str">
        <f t="shared" si="26"/>
        <v/>
      </c>
      <c r="O385" s="8" t="str">
        <f t="shared" si="27"/>
        <v/>
      </c>
      <c r="P385" s="4"/>
    </row>
    <row r="386" spans="1:16">
      <c r="A386" s="6"/>
      <c r="B386" s="7"/>
      <c r="C386" s="7"/>
      <c r="D386" s="8" t="str">
        <f t="shared" si="24"/>
        <v/>
      </c>
      <c r="E386" s="7"/>
      <c r="F386" s="7"/>
      <c r="G386" s="7"/>
      <c r="H386" s="7"/>
      <c r="I386" s="8" t="str">
        <f t="shared" si="25"/>
        <v/>
      </c>
      <c r="J386" s="8"/>
      <c r="K386" s="8"/>
      <c r="L386" s="8" t="str">
        <f>IF($A386="","",Settings!$B$3+SUMIFS($B$2:$B$495,$A$2:$A$495,"&lt;="&amp;$A386)-SUMIFS($J$2:$J$495,$A$2:$A$495,"&lt;="&amp;$A386)-SUMIFS('Weekly Purchases'!$N$2:$N$503,'Weekly Purchases'!$B$2:$B$503,"&lt;&gt;",'Weekly Purchases'!$B$2:$B$503,"&lt;="&amp;$A386)-SUMIFS('Weekly Purchases'!$N$2:$N$503,'Weekly Purchases'!$B$2:$B$503,"",'Weekly Purchases'!$A$2:$A$503,"&lt;="&amp;$A386))</f>
        <v/>
      </c>
      <c r="M386" s="8" t="str">
        <f>IF($A386="","",Settings!$B$4+SUMIFS($C$2:$C$495,$A$2:$A$495,"&lt;="&amp;$A386)-SUMIFS($K$2:$K$495,$A$2:$A$495,"&lt;="&amp;$A386)-SUMIFS('Weekly Purchases'!$O$2:$O$503,'Weekly Purchases'!$B$2:$B$503,"&lt;&gt;",'Weekly Purchases'!$B$2:$B$503,"&lt;="&amp;$A386)-SUMIFS('Weekly Purchases'!$O$2:$O$503,'Weekly Purchases'!$B$2:$B$503,"",'Weekly Purchases'!$A$2:$A$503,"&lt;="&amp;$A386))</f>
        <v/>
      </c>
      <c r="N386" s="8" t="str">
        <f t="shared" si="26"/>
        <v/>
      </c>
      <c r="O386" s="8" t="str">
        <f t="shared" si="27"/>
        <v/>
      </c>
      <c r="P386" s="4"/>
    </row>
    <row r="387" spans="1:16">
      <c r="A387" s="6"/>
      <c r="B387" s="7"/>
      <c r="C387" s="7"/>
      <c r="D387" s="8" t="str">
        <f t="shared" si="24"/>
        <v/>
      </c>
      <c r="E387" s="7"/>
      <c r="F387" s="7"/>
      <c r="G387" s="7"/>
      <c r="H387" s="7"/>
      <c r="I387" s="8" t="str">
        <f t="shared" si="25"/>
        <v/>
      </c>
      <c r="J387" s="8"/>
      <c r="K387" s="8"/>
      <c r="L387" s="8" t="str">
        <f>IF($A387="","",Settings!$B$3+SUMIFS($B$2:$B$495,$A$2:$A$495,"&lt;="&amp;$A387)-SUMIFS($J$2:$J$495,$A$2:$A$495,"&lt;="&amp;$A387)-SUMIFS('Weekly Purchases'!$N$2:$N$503,'Weekly Purchases'!$B$2:$B$503,"&lt;&gt;",'Weekly Purchases'!$B$2:$B$503,"&lt;="&amp;$A387)-SUMIFS('Weekly Purchases'!$N$2:$N$503,'Weekly Purchases'!$B$2:$B$503,"",'Weekly Purchases'!$A$2:$A$503,"&lt;="&amp;$A387))</f>
        <v/>
      </c>
      <c r="M387" s="8" t="str">
        <f>IF($A387="","",Settings!$B$4+SUMIFS($C$2:$C$495,$A$2:$A$495,"&lt;="&amp;$A387)-SUMIFS($K$2:$K$495,$A$2:$A$495,"&lt;="&amp;$A387)-SUMIFS('Weekly Purchases'!$O$2:$O$503,'Weekly Purchases'!$B$2:$B$503,"&lt;&gt;",'Weekly Purchases'!$B$2:$B$503,"&lt;="&amp;$A387)-SUMIFS('Weekly Purchases'!$O$2:$O$503,'Weekly Purchases'!$B$2:$B$503,"",'Weekly Purchases'!$A$2:$A$503,"&lt;="&amp;$A387))</f>
        <v/>
      </c>
      <c r="N387" s="8" t="str">
        <f t="shared" si="26"/>
        <v/>
      </c>
      <c r="O387" s="8" t="str">
        <f t="shared" si="27"/>
        <v/>
      </c>
      <c r="P387" s="4"/>
    </row>
    <row r="388" spans="1:16">
      <c r="A388" s="6"/>
      <c r="B388" s="7"/>
      <c r="C388" s="7"/>
      <c r="D388" s="8" t="str">
        <f t="shared" si="24"/>
        <v/>
      </c>
      <c r="E388" s="7"/>
      <c r="F388" s="7"/>
      <c r="G388" s="7"/>
      <c r="H388" s="7"/>
      <c r="I388" s="8" t="str">
        <f t="shared" si="25"/>
        <v/>
      </c>
      <c r="J388" s="8"/>
      <c r="K388" s="8"/>
      <c r="L388" s="8" t="str">
        <f>IF($A388="","",Settings!$B$3+SUMIFS($B$2:$B$495,$A$2:$A$495,"&lt;="&amp;$A388)-SUMIFS($J$2:$J$495,$A$2:$A$495,"&lt;="&amp;$A388)-SUMIFS('Weekly Purchases'!$N$2:$N$503,'Weekly Purchases'!$B$2:$B$503,"&lt;&gt;",'Weekly Purchases'!$B$2:$B$503,"&lt;="&amp;$A388)-SUMIFS('Weekly Purchases'!$N$2:$N$503,'Weekly Purchases'!$B$2:$B$503,"",'Weekly Purchases'!$A$2:$A$503,"&lt;="&amp;$A388))</f>
        <v/>
      </c>
      <c r="M388" s="8" t="str">
        <f>IF($A388="","",Settings!$B$4+SUMIFS($C$2:$C$495,$A$2:$A$495,"&lt;="&amp;$A388)-SUMIFS($K$2:$K$495,$A$2:$A$495,"&lt;="&amp;$A388)-SUMIFS('Weekly Purchases'!$O$2:$O$503,'Weekly Purchases'!$B$2:$B$503,"&lt;&gt;",'Weekly Purchases'!$B$2:$B$503,"&lt;="&amp;$A388)-SUMIFS('Weekly Purchases'!$O$2:$O$503,'Weekly Purchases'!$B$2:$B$503,"",'Weekly Purchases'!$A$2:$A$503,"&lt;="&amp;$A388))</f>
        <v/>
      </c>
      <c r="N388" s="8" t="str">
        <f t="shared" si="26"/>
        <v/>
      </c>
      <c r="O388" s="8" t="str">
        <f t="shared" si="27"/>
        <v/>
      </c>
      <c r="P388" s="4"/>
    </row>
    <row r="389" spans="1:16">
      <c r="A389" s="6"/>
      <c r="B389" s="7"/>
      <c r="C389" s="7"/>
      <c r="D389" s="8" t="str">
        <f t="shared" si="24"/>
        <v/>
      </c>
      <c r="E389" s="7"/>
      <c r="F389" s="7"/>
      <c r="G389" s="7"/>
      <c r="H389" s="7"/>
      <c r="I389" s="8" t="str">
        <f t="shared" si="25"/>
        <v/>
      </c>
      <c r="J389" s="8"/>
      <c r="K389" s="8"/>
      <c r="L389" s="8" t="str">
        <f>IF($A389="","",Settings!$B$3+SUMIFS($B$2:$B$495,$A$2:$A$495,"&lt;="&amp;$A389)-SUMIFS($J$2:$J$495,$A$2:$A$495,"&lt;="&amp;$A389)-SUMIFS('Weekly Purchases'!$N$2:$N$503,'Weekly Purchases'!$B$2:$B$503,"&lt;&gt;",'Weekly Purchases'!$B$2:$B$503,"&lt;="&amp;$A389)-SUMIFS('Weekly Purchases'!$N$2:$N$503,'Weekly Purchases'!$B$2:$B$503,"",'Weekly Purchases'!$A$2:$A$503,"&lt;="&amp;$A389))</f>
        <v/>
      </c>
      <c r="M389" s="8" t="str">
        <f>IF($A389="","",Settings!$B$4+SUMIFS($C$2:$C$495,$A$2:$A$495,"&lt;="&amp;$A389)-SUMIFS($K$2:$K$495,$A$2:$A$495,"&lt;="&amp;$A389)-SUMIFS('Weekly Purchases'!$O$2:$O$503,'Weekly Purchases'!$B$2:$B$503,"&lt;&gt;",'Weekly Purchases'!$B$2:$B$503,"&lt;="&amp;$A389)-SUMIFS('Weekly Purchases'!$O$2:$O$503,'Weekly Purchases'!$B$2:$B$503,"",'Weekly Purchases'!$A$2:$A$503,"&lt;="&amp;$A389))</f>
        <v/>
      </c>
      <c r="N389" s="8" t="str">
        <f t="shared" si="26"/>
        <v/>
      </c>
      <c r="O389" s="8" t="str">
        <f t="shared" si="27"/>
        <v/>
      </c>
      <c r="P389" s="4"/>
    </row>
    <row r="390" spans="1:16">
      <c r="A390" s="6"/>
      <c r="B390" s="7"/>
      <c r="C390" s="7"/>
      <c r="D390" s="8" t="str">
        <f t="shared" si="24"/>
        <v/>
      </c>
      <c r="E390" s="7"/>
      <c r="F390" s="7"/>
      <c r="G390" s="7"/>
      <c r="H390" s="7"/>
      <c r="I390" s="8" t="str">
        <f t="shared" si="25"/>
        <v/>
      </c>
      <c r="J390" s="8"/>
      <c r="K390" s="8"/>
      <c r="L390" s="8" t="str">
        <f>IF($A390="","",Settings!$B$3+SUMIFS($B$2:$B$495,$A$2:$A$495,"&lt;="&amp;$A390)-SUMIFS($J$2:$J$495,$A$2:$A$495,"&lt;="&amp;$A390)-SUMIFS('Weekly Purchases'!$N$2:$N$503,'Weekly Purchases'!$B$2:$B$503,"&lt;&gt;",'Weekly Purchases'!$B$2:$B$503,"&lt;="&amp;$A390)-SUMIFS('Weekly Purchases'!$N$2:$N$503,'Weekly Purchases'!$B$2:$B$503,"",'Weekly Purchases'!$A$2:$A$503,"&lt;="&amp;$A390))</f>
        <v/>
      </c>
      <c r="M390" s="8" t="str">
        <f>IF($A390="","",Settings!$B$4+SUMIFS($C$2:$C$495,$A$2:$A$495,"&lt;="&amp;$A390)-SUMIFS($K$2:$K$495,$A$2:$A$495,"&lt;="&amp;$A390)-SUMIFS('Weekly Purchases'!$O$2:$O$503,'Weekly Purchases'!$B$2:$B$503,"&lt;&gt;",'Weekly Purchases'!$B$2:$B$503,"&lt;="&amp;$A390)-SUMIFS('Weekly Purchases'!$O$2:$O$503,'Weekly Purchases'!$B$2:$B$503,"",'Weekly Purchases'!$A$2:$A$503,"&lt;="&amp;$A390))</f>
        <v/>
      </c>
      <c r="N390" s="8" t="str">
        <f t="shared" si="26"/>
        <v/>
      </c>
      <c r="O390" s="8" t="str">
        <f t="shared" si="27"/>
        <v/>
      </c>
      <c r="P390" s="4"/>
    </row>
    <row r="391" spans="1:16">
      <c r="A391" s="6"/>
      <c r="B391" s="7"/>
      <c r="C391" s="7"/>
      <c r="D391" s="8" t="str">
        <f t="shared" si="24"/>
        <v/>
      </c>
      <c r="E391" s="7"/>
      <c r="F391" s="7"/>
      <c r="G391" s="7"/>
      <c r="H391" s="7"/>
      <c r="I391" s="8" t="str">
        <f t="shared" si="25"/>
        <v/>
      </c>
      <c r="J391" s="8"/>
      <c r="K391" s="8"/>
      <c r="L391" s="8" t="str">
        <f>IF($A391="","",Settings!$B$3+SUMIFS($B$2:$B$495,$A$2:$A$495,"&lt;="&amp;$A391)-SUMIFS($J$2:$J$495,$A$2:$A$495,"&lt;="&amp;$A391)-SUMIFS('Weekly Purchases'!$N$2:$N$503,'Weekly Purchases'!$B$2:$B$503,"&lt;&gt;",'Weekly Purchases'!$B$2:$B$503,"&lt;="&amp;$A391)-SUMIFS('Weekly Purchases'!$N$2:$N$503,'Weekly Purchases'!$B$2:$B$503,"",'Weekly Purchases'!$A$2:$A$503,"&lt;="&amp;$A391))</f>
        <v/>
      </c>
      <c r="M391" s="8" t="str">
        <f>IF($A391="","",Settings!$B$4+SUMIFS($C$2:$C$495,$A$2:$A$495,"&lt;="&amp;$A391)-SUMIFS($K$2:$K$495,$A$2:$A$495,"&lt;="&amp;$A391)-SUMIFS('Weekly Purchases'!$O$2:$O$503,'Weekly Purchases'!$B$2:$B$503,"&lt;&gt;",'Weekly Purchases'!$B$2:$B$503,"&lt;="&amp;$A391)-SUMIFS('Weekly Purchases'!$O$2:$O$503,'Weekly Purchases'!$B$2:$B$503,"",'Weekly Purchases'!$A$2:$A$503,"&lt;="&amp;$A391))</f>
        <v/>
      </c>
      <c r="N391" s="8" t="str">
        <f t="shared" si="26"/>
        <v/>
      </c>
      <c r="O391" s="8" t="str">
        <f t="shared" si="27"/>
        <v/>
      </c>
      <c r="P391" s="4"/>
    </row>
    <row r="392" spans="1:16">
      <c r="A392" s="6"/>
      <c r="B392" s="7"/>
      <c r="C392" s="7"/>
      <c r="D392" s="8" t="str">
        <f t="shared" si="24"/>
        <v/>
      </c>
      <c r="E392" s="7"/>
      <c r="F392" s="7"/>
      <c r="G392" s="7"/>
      <c r="H392" s="7"/>
      <c r="I392" s="8" t="str">
        <f t="shared" si="25"/>
        <v/>
      </c>
      <c r="J392" s="8"/>
      <c r="K392" s="8"/>
      <c r="L392" s="8" t="str">
        <f>IF($A392="","",Settings!$B$3+SUMIFS($B$2:$B$495,$A$2:$A$495,"&lt;="&amp;$A392)-SUMIFS($J$2:$J$495,$A$2:$A$495,"&lt;="&amp;$A392)-SUMIFS('Weekly Purchases'!$N$2:$N$503,'Weekly Purchases'!$B$2:$B$503,"&lt;&gt;",'Weekly Purchases'!$B$2:$B$503,"&lt;="&amp;$A392)-SUMIFS('Weekly Purchases'!$N$2:$N$503,'Weekly Purchases'!$B$2:$B$503,"",'Weekly Purchases'!$A$2:$A$503,"&lt;="&amp;$A392))</f>
        <v/>
      </c>
      <c r="M392" s="8" t="str">
        <f>IF($A392="","",Settings!$B$4+SUMIFS($C$2:$C$495,$A$2:$A$495,"&lt;="&amp;$A392)-SUMIFS($K$2:$K$495,$A$2:$A$495,"&lt;="&amp;$A392)-SUMIFS('Weekly Purchases'!$O$2:$O$503,'Weekly Purchases'!$B$2:$B$503,"&lt;&gt;",'Weekly Purchases'!$B$2:$B$503,"&lt;="&amp;$A392)-SUMIFS('Weekly Purchases'!$O$2:$O$503,'Weekly Purchases'!$B$2:$B$503,"",'Weekly Purchases'!$A$2:$A$503,"&lt;="&amp;$A392))</f>
        <v/>
      </c>
      <c r="N392" s="8" t="str">
        <f t="shared" si="26"/>
        <v/>
      </c>
      <c r="O392" s="8" t="str">
        <f t="shared" si="27"/>
        <v/>
      </c>
      <c r="P392" s="4"/>
    </row>
    <row r="393" spans="1:16">
      <c r="A393" s="6"/>
      <c r="B393" s="7"/>
      <c r="C393" s="7"/>
      <c r="D393" s="8" t="str">
        <f t="shared" si="24"/>
        <v/>
      </c>
      <c r="E393" s="7"/>
      <c r="F393" s="7"/>
      <c r="G393" s="7"/>
      <c r="H393" s="7"/>
      <c r="I393" s="8" t="str">
        <f t="shared" si="25"/>
        <v/>
      </c>
      <c r="J393" s="8"/>
      <c r="K393" s="8"/>
      <c r="L393" s="8" t="str">
        <f>IF($A393="","",Settings!$B$3+SUMIFS($B$2:$B$495,$A$2:$A$495,"&lt;="&amp;$A393)-SUMIFS($J$2:$J$495,$A$2:$A$495,"&lt;="&amp;$A393)-SUMIFS('Weekly Purchases'!$N$2:$N$503,'Weekly Purchases'!$B$2:$B$503,"&lt;&gt;",'Weekly Purchases'!$B$2:$B$503,"&lt;="&amp;$A393)-SUMIFS('Weekly Purchases'!$N$2:$N$503,'Weekly Purchases'!$B$2:$B$503,"",'Weekly Purchases'!$A$2:$A$503,"&lt;="&amp;$A393))</f>
        <v/>
      </c>
      <c r="M393" s="8" t="str">
        <f>IF($A393="","",Settings!$B$4+SUMIFS($C$2:$C$495,$A$2:$A$495,"&lt;="&amp;$A393)-SUMIFS($K$2:$K$495,$A$2:$A$495,"&lt;="&amp;$A393)-SUMIFS('Weekly Purchases'!$O$2:$O$503,'Weekly Purchases'!$B$2:$B$503,"&lt;&gt;",'Weekly Purchases'!$B$2:$B$503,"&lt;="&amp;$A393)-SUMIFS('Weekly Purchases'!$O$2:$O$503,'Weekly Purchases'!$B$2:$B$503,"",'Weekly Purchases'!$A$2:$A$503,"&lt;="&amp;$A393))</f>
        <v/>
      </c>
      <c r="N393" s="8" t="str">
        <f t="shared" si="26"/>
        <v/>
      </c>
      <c r="O393" s="8" t="str">
        <f t="shared" si="27"/>
        <v/>
      </c>
      <c r="P393" s="4"/>
    </row>
    <row r="394" spans="1:16">
      <c r="A394" s="6"/>
      <c r="B394" s="7"/>
      <c r="C394" s="7"/>
      <c r="D394" s="8" t="str">
        <f t="shared" si="24"/>
        <v/>
      </c>
      <c r="E394" s="7"/>
      <c r="F394" s="7"/>
      <c r="G394" s="7"/>
      <c r="H394" s="7"/>
      <c r="I394" s="8" t="str">
        <f t="shared" si="25"/>
        <v/>
      </c>
      <c r="J394" s="8"/>
      <c r="K394" s="8"/>
      <c r="L394" s="8" t="str">
        <f>IF($A394="","",Settings!$B$3+SUMIFS($B$2:$B$495,$A$2:$A$495,"&lt;="&amp;$A394)-SUMIFS($J$2:$J$495,$A$2:$A$495,"&lt;="&amp;$A394)-SUMIFS('Weekly Purchases'!$N$2:$N$503,'Weekly Purchases'!$B$2:$B$503,"&lt;&gt;",'Weekly Purchases'!$B$2:$B$503,"&lt;="&amp;$A394)-SUMIFS('Weekly Purchases'!$N$2:$N$503,'Weekly Purchases'!$B$2:$B$503,"",'Weekly Purchases'!$A$2:$A$503,"&lt;="&amp;$A394))</f>
        <v/>
      </c>
      <c r="M394" s="8" t="str">
        <f>IF($A394="","",Settings!$B$4+SUMIFS($C$2:$C$495,$A$2:$A$495,"&lt;="&amp;$A394)-SUMIFS($K$2:$K$495,$A$2:$A$495,"&lt;="&amp;$A394)-SUMIFS('Weekly Purchases'!$O$2:$O$503,'Weekly Purchases'!$B$2:$B$503,"&lt;&gt;",'Weekly Purchases'!$B$2:$B$503,"&lt;="&amp;$A394)-SUMIFS('Weekly Purchases'!$O$2:$O$503,'Weekly Purchases'!$B$2:$B$503,"",'Weekly Purchases'!$A$2:$A$503,"&lt;="&amp;$A394))</f>
        <v/>
      </c>
      <c r="N394" s="8" t="str">
        <f t="shared" si="26"/>
        <v/>
      </c>
      <c r="O394" s="8" t="str">
        <f t="shared" si="27"/>
        <v/>
      </c>
      <c r="P394" s="4"/>
    </row>
    <row r="395" spans="1:16">
      <c r="A395" s="6"/>
      <c r="B395" s="7"/>
      <c r="C395" s="7"/>
      <c r="D395" s="8" t="str">
        <f t="shared" si="24"/>
        <v/>
      </c>
      <c r="E395" s="7"/>
      <c r="F395" s="7"/>
      <c r="G395" s="7"/>
      <c r="H395" s="7"/>
      <c r="I395" s="8" t="str">
        <f t="shared" si="25"/>
        <v/>
      </c>
      <c r="J395" s="8"/>
      <c r="K395" s="8"/>
      <c r="L395" s="8" t="str">
        <f>IF($A395="","",Settings!$B$3+SUMIFS($B$2:$B$495,$A$2:$A$495,"&lt;="&amp;$A395)-SUMIFS($J$2:$J$495,$A$2:$A$495,"&lt;="&amp;$A395)-SUMIFS('Weekly Purchases'!$N$2:$N$503,'Weekly Purchases'!$B$2:$B$503,"&lt;&gt;",'Weekly Purchases'!$B$2:$B$503,"&lt;="&amp;$A395)-SUMIFS('Weekly Purchases'!$N$2:$N$503,'Weekly Purchases'!$B$2:$B$503,"",'Weekly Purchases'!$A$2:$A$503,"&lt;="&amp;$A395))</f>
        <v/>
      </c>
      <c r="M395" s="8" t="str">
        <f>IF($A395="","",Settings!$B$4+SUMIFS($C$2:$C$495,$A$2:$A$495,"&lt;="&amp;$A395)-SUMIFS($K$2:$K$495,$A$2:$A$495,"&lt;="&amp;$A395)-SUMIFS('Weekly Purchases'!$O$2:$O$503,'Weekly Purchases'!$B$2:$B$503,"&lt;&gt;",'Weekly Purchases'!$B$2:$B$503,"&lt;="&amp;$A395)-SUMIFS('Weekly Purchases'!$O$2:$O$503,'Weekly Purchases'!$B$2:$B$503,"",'Weekly Purchases'!$A$2:$A$503,"&lt;="&amp;$A395))</f>
        <v/>
      </c>
      <c r="N395" s="8" t="str">
        <f t="shared" si="26"/>
        <v/>
      </c>
      <c r="O395" s="8" t="str">
        <f t="shared" si="27"/>
        <v/>
      </c>
      <c r="P395" s="4"/>
    </row>
    <row r="396" spans="1:16">
      <c r="A396" s="6"/>
      <c r="B396" s="7"/>
      <c r="C396" s="7"/>
      <c r="D396" s="8" t="str">
        <f t="shared" si="24"/>
        <v/>
      </c>
      <c r="E396" s="7"/>
      <c r="F396" s="7"/>
      <c r="G396" s="7"/>
      <c r="H396" s="7"/>
      <c r="I396" s="8" t="str">
        <f t="shared" si="25"/>
        <v/>
      </c>
      <c r="J396" s="8"/>
      <c r="K396" s="8"/>
      <c r="L396" s="8" t="str">
        <f>IF($A396="","",Settings!$B$3+SUMIFS($B$2:$B$495,$A$2:$A$495,"&lt;="&amp;$A396)-SUMIFS($J$2:$J$495,$A$2:$A$495,"&lt;="&amp;$A396)-SUMIFS('Weekly Purchases'!$N$2:$N$503,'Weekly Purchases'!$B$2:$B$503,"&lt;&gt;",'Weekly Purchases'!$B$2:$B$503,"&lt;="&amp;$A396)-SUMIFS('Weekly Purchases'!$N$2:$N$503,'Weekly Purchases'!$B$2:$B$503,"",'Weekly Purchases'!$A$2:$A$503,"&lt;="&amp;$A396))</f>
        <v/>
      </c>
      <c r="M396" s="8" t="str">
        <f>IF($A396="","",Settings!$B$4+SUMIFS($C$2:$C$495,$A$2:$A$495,"&lt;="&amp;$A396)-SUMIFS($K$2:$K$495,$A$2:$A$495,"&lt;="&amp;$A396)-SUMIFS('Weekly Purchases'!$O$2:$O$503,'Weekly Purchases'!$B$2:$B$503,"&lt;&gt;",'Weekly Purchases'!$B$2:$B$503,"&lt;="&amp;$A396)-SUMIFS('Weekly Purchases'!$O$2:$O$503,'Weekly Purchases'!$B$2:$B$503,"",'Weekly Purchases'!$A$2:$A$503,"&lt;="&amp;$A396))</f>
        <v/>
      </c>
      <c r="N396" s="8" t="str">
        <f t="shared" si="26"/>
        <v/>
      </c>
      <c r="O396" s="8" t="str">
        <f t="shared" si="27"/>
        <v/>
      </c>
      <c r="P396" s="4"/>
    </row>
    <row r="397" spans="1:16">
      <c r="A397" s="6"/>
      <c r="B397" s="7"/>
      <c r="C397" s="7"/>
      <c r="D397" s="8" t="str">
        <f t="shared" si="24"/>
        <v/>
      </c>
      <c r="E397" s="7"/>
      <c r="F397" s="7"/>
      <c r="G397" s="7"/>
      <c r="H397" s="7"/>
      <c r="I397" s="8" t="str">
        <f t="shared" si="25"/>
        <v/>
      </c>
      <c r="J397" s="8"/>
      <c r="K397" s="8"/>
      <c r="L397" s="8" t="str">
        <f>IF($A397="","",Settings!$B$3+SUMIFS($B$2:$B$495,$A$2:$A$495,"&lt;="&amp;$A397)-SUMIFS($J$2:$J$495,$A$2:$A$495,"&lt;="&amp;$A397)-SUMIFS('Weekly Purchases'!$N$2:$N$503,'Weekly Purchases'!$B$2:$B$503,"&lt;&gt;",'Weekly Purchases'!$B$2:$B$503,"&lt;="&amp;$A397)-SUMIFS('Weekly Purchases'!$N$2:$N$503,'Weekly Purchases'!$B$2:$B$503,"",'Weekly Purchases'!$A$2:$A$503,"&lt;="&amp;$A397))</f>
        <v/>
      </c>
      <c r="M397" s="8" t="str">
        <f>IF($A397="","",Settings!$B$4+SUMIFS($C$2:$C$495,$A$2:$A$495,"&lt;="&amp;$A397)-SUMIFS($K$2:$K$495,$A$2:$A$495,"&lt;="&amp;$A397)-SUMIFS('Weekly Purchases'!$O$2:$O$503,'Weekly Purchases'!$B$2:$B$503,"&lt;&gt;",'Weekly Purchases'!$B$2:$B$503,"&lt;="&amp;$A397)-SUMIFS('Weekly Purchases'!$O$2:$O$503,'Weekly Purchases'!$B$2:$B$503,"",'Weekly Purchases'!$A$2:$A$503,"&lt;="&amp;$A397))</f>
        <v/>
      </c>
      <c r="N397" s="8" t="str">
        <f t="shared" si="26"/>
        <v/>
      </c>
      <c r="O397" s="8" t="str">
        <f t="shared" si="27"/>
        <v/>
      </c>
      <c r="P397" s="4"/>
    </row>
    <row r="398" spans="1:16">
      <c r="A398" s="6"/>
      <c r="B398" s="7"/>
      <c r="C398" s="7"/>
      <c r="D398" s="8" t="str">
        <f t="shared" si="24"/>
        <v/>
      </c>
      <c r="E398" s="7"/>
      <c r="F398" s="7"/>
      <c r="G398" s="7"/>
      <c r="H398" s="7"/>
      <c r="I398" s="8" t="str">
        <f t="shared" si="25"/>
        <v/>
      </c>
      <c r="J398" s="8"/>
      <c r="K398" s="8"/>
      <c r="L398" s="8" t="str">
        <f>IF($A398="","",Settings!$B$3+SUMIFS($B$2:$B$495,$A$2:$A$495,"&lt;="&amp;$A398)-SUMIFS($J$2:$J$495,$A$2:$A$495,"&lt;="&amp;$A398)-SUMIFS('Weekly Purchases'!$N$2:$N$503,'Weekly Purchases'!$B$2:$B$503,"&lt;&gt;",'Weekly Purchases'!$B$2:$B$503,"&lt;="&amp;$A398)-SUMIFS('Weekly Purchases'!$N$2:$N$503,'Weekly Purchases'!$B$2:$B$503,"",'Weekly Purchases'!$A$2:$A$503,"&lt;="&amp;$A398))</f>
        <v/>
      </c>
      <c r="M398" s="8" t="str">
        <f>IF($A398="","",Settings!$B$4+SUMIFS($C$2:$C$495,$A$2:$A$495,"&lt;="&amp;$A398)-SUMIFS($K$2:$K$495,$A$2:$A$495,"&lt;="&amp;$A398)-SUMIFS('Weekly Purchases'!$O$2:$O$503,'Weekly Purchases'!$B$2:$B$503,"&lt;&gt;",'Weekly Purchases'!$B$2:$B$503,"&lt;="&amp;$A398)-SUMIFS('Weekly Purchases'!$O$2:$O$503,'Weekly Purchases'!$B$2:$B$503,"",'Weekly Purchases'!$A$2:$A$503,"&lt;="&amp;$A398))</f>
        <v/>
      </c>
      <c r="N398" s="8" t="str">
        <f t="shared" si="26"/>
        <v/>
      </c>
      <c r="O398" s="8" t="str">
        <f t="shared" si="27"/>
        <v/>
      </c>
      <c r="P398" s="4"/>
    </row>
    <row r="399" spans="1:16">
      <c r="A399" s="6"/>
      <c r="B399" s="7"/>
      <c r="C399" s="7"/>
      <c r="D399" s="8" t="str">
        <f t="shared" si="24"/>
        <v/>
      </c>
      <c r="E399" s="7"/>
      <c r="F399" s="7"/>
      <c r="G399" s="7"/>
      <c r="H399" s="7"/>
      <c r="I399" s="8" t="str">
        <f t="shared" si="25"/>
        <v/>
      </c>
      <c r="J399" s="8"/>
      <c r="K399" s="8"/>
      <c r="L399" s="8" t="str">
        <f>IF($A399="","",Settings!$B$3+SUMIFS($B$2:$B$495,$A$2:$A$495,"&lt;="&amp;$A399)-SUMIFS($J$2:$J$495,$A$2:$A$495,"&lt;="&amp;$A399)-SUMIFS('Weekly Purchases'!$N$2:$N$503,'Weekly Purchases'!$B$2:$B$503,"&lt;&gt;",'Weekly Purchases'!$B$2:$B$503,"&lt;="&amp;$A399)-SUMIFS('Weekly Purchases'!$N$2:$N$503,'Weekly Purchases'!$B$2:$B$503,"",'Weekly Purchases'!$A$2:$A$503,"&lt;="&amp;$A399))</f>
        <v/>
      </c>
      <c r="M399" s="8" t="str">
        <f>IF($A399="","",Settings!$B$4+SUMIFS($C$2:$C$495,$A$2:$A$495,"&lt;="&amp;$A399)-SUMIFS($K$2:$K$495,$A$2:$A$495,"&lt;="&amp;$A399)-SUMIFS('Weekly Purchases'!$O$2:$O$503,'Weekly Purchases'!$B$2:$B$503,"&lt;&gt;",'Weekly Purchases'!$B$2:$B$503,"&lt;="&amp;$A399)-SUMIFS('Weekly Purchases'!$O$2:$O$503,'Weekly Purchases'!$B$2:$B$503,"",'Weekly Purchases'!$A$2:$A$503,"&lt;="&amp;$A399))</f>
        <v/>
      </c>
      <c r="N399" s="8" t="str">
        <f t="shared" si="26"/>
        <v/>
      </c>
      <c r="O399" s="8" t="str">
        <f t="shared" si="27"/>
        <v/>
      </c>
      <c r="P399" s="4"/>
    </row>
    <row r="400" spans="1:16">
      <c r="A400" s="6"/>
      <c r="B400" s="7"/>
      <c r="C400" s="7"/>
      <c r="D400" s="8" t="str">
        <f t="shared" si="24"/>
        <v/>
      </c>
      <c r="E400" s="7"/>
      <c r="F400" s="7"/>
      <c r="G400" s="7"/>
      <c r="H400" s="7"/>
      <c r="I400" s="8" t="str">
        <f t="shared" si="25"/>
        <v/>
      </c>
      <c r="J400" s="8"/>
      <c r="K400" s="8"/>
      <c r="L400" s="8" t="str">
        <f>IF($A400="","",Settings!$B$3+SUMIFS($B$2:$B$495,$A$2:$A$495,"&lt;="&amp;$A400)-SUMIFS($J$2:$J$495,$A$2:$A$495,"&lt;="&amp;$A400)-SUMIFS('Weekly Purchases'!$N$2:$N$503,'Weekly Purchases'!$B$2:$B$503,"&lt;&gt;",'Weekly Purchases'!$B$2:$B$503,"&lt;="&amp;$A400)-SUMIFS('Weekly Purchases'!$N$2:$N$503,'Weekly Purchases'!$B$2:$B$503,"",'Weekly Purchases'!$A$2:$A$503,"&lt;="&amp;$A400))</f>
        <v/>
      </c>
      <c r="M400" s="8" t="str">
        <f>IF($A400="","",Settings!$B$4+SUMIFS($C$2:$C$495,$A$2:$A$495,"&lt;="&amp;$A400)-SUMIFS($K$2:$K$495,$A$2:$A$495,"&lt;="&amp;$A400)-SUMIFS('Weekly Purchases'!$O$2:$O$503,'Weekly Purchases'!$B$2:$B$503,"&lt;&gt;",'Weekly Purchases'!$B$2:$B$503,"&lt;="&amp;$A400)-SUMIFS('Weekly Purchases'!$O$2:$O$503,'Weekly Purchases'!$B$2:$B$503,"",'Weekly Purchases'!$A$2:$A$503,"&lt;="&amp;$A400))</f>
        <v/>
      </c>
      <c r="N400" s="8" t="str">
        <f t="shared" si="26"/>
        <v/>
      </c>
      <c r="O400" s="8" t="str">
        <f t="shared" si="27"/>
        <v/>
      </c>
      <c r="P400" s="4"/>
    </row>
    <row r="401" spans="1:16">
      <c r="A401" s="6"/>
      <c r="B401" s="7"/>
      <c r="C401" s="7"/>
      <c r="D401" s="8" t="str">
        <f t="shared" si="24"/>
        <v/>
      </c>
      <c r="E401" s="7"/>
      <c r="F401" s="7"/>
      <c r="G401" s="7"/>
      <c r="H401" s="7"/>
      <c r="I401" s="8" t="str">
        <f t="shared" si="25"/>
        <v/>
      </c>
      <c r="J401" s="8"/>
      <c r="K401" s="8"/>
      <c r="L401" s="8" t="str">
        <f>IF($A401="","",Settings!$B$3+SUMIFS($B$2:$B$495,$A$2:$A$495,"&lt;="&amp;$A401)-SUMIFS($J$2:$J$495,$A$2:$A$495,"&lt;="&amp;$A401)-SUMIFS('Weekly Purchases'!$N$2:$N$503,'Weekly Purchases'!$B$2:$B$503,"&lt;&gt;",'Weekly Purchases'!$B$2:$B$503,"&lt;="&amp;$A401)-SUMIFS('Weekly Purchases'!$N$2:$N$503,'Weekly Purchases'!$B$2:$B$503,"",'Weekly Purchases'!$A$2:$A$503,"&lt;="&amp;$A401))</f>
        <v/>
      </c>
      <c r="M401" s="8" t="str">
        <f>IF($A401="","",Settings!$B$4+SUMIFS($C$2:$C$495,$A$2:$A$495,"&lt;="&amp;$A401)-SUMIFS($K$2:$K$495,$A$2:$A$495,"&lt;="&amp;$A401)-SUMIFS('Weekly Purchases'!$O$2:$O$503,'Weekly Purchases'!$B$2:$B$503,"&lt;&gt;",'Weekly Purchases'!$B$2:$B$503,"&lt;="&amp;$A401)-SUMIFS('Weekly Purchases'!$O$2:$O$503,'Weekly Purchases'!$B$2:$B$503,"",'Weekly Purchases'!$A$2:$A$503,"&lt;="&amp;$A401))</f>
        <v/>
      </c>
      <c r="N401" s="8" t="str">
        <f t="shared" si="26"/>
        <v/>
      </c>
      <c r="O401" s="8" t="str">
        <f t="shared" si="27"/>
        <v/>
      </c>
      <c r="P401" s="4"/>
    </row>
    <row r="402" spans="1:16">
      <c r="A402" s="6"/>
      <c r="B402" s="7"/>
      <c r="C402" s="7"/>
      <c r="D402" s="8" t="str">
        <f t="shared" si="24"/>
        <v/>
      </c>
      <c r="E402" s="7"/>
      <c r="F402" s="7"/>
      <c r="G402" s="7"/>
      <c r="H402" s="7"/>
      <c r="I402" s="8" t="str">
        <f t="shared" si="25"/>
        <v/>
      </c>
      <c r="J402" s="8"/>
      <c r="K402" s="8"/>
      <c r="L402" s="8" t="str">
        <f>IF($A402="","",Settings!$B$3+SUMIFS($B$2:$B$495,$A$2:$A$495,"&lt;="&amp;$A402)-SUMIFS($J$2:$J$495,$A$2:$A$495,"&lt;="&amp;$A402)-SUMIFS('Weekly Purchases'!$N$2:$N$503,'Weekly Purchases'!$B$2:$B$503,"&lt;&gt;",'Weekly Purchases'!$B$2:$B$503,"&lt;="&amp;$A402)-SUMIFS('Weekly Purchases'!$N$2:$N$503,'Weekly Purchases'!$B$2:$B$503,"",'Weekly Purchases'!$A$2:$A$503,"&lt;="&amp;$A402))</f>
        <v/>
      </c>
      <c r="M402" s="8" t="str">
        <f>IF($A402="","",Settings!$B$4+SUMIFS($C$2:$C$495,$A$2:$A$495,"&lt;="&amp;$A402)-SUMIFS($K$2:$K$495,$A$2:$A$495,"&lt;="&amp;$A402)-SUMIFS('Weekly Purchases'!$O$2:$O$503,'Weekly Purchases'!$B$2:$B$503,"&lt;&gt;",'Weekly Purchases'!$B$2:$B$503,"&lt;="&amp;$A402)-SUMIFS('Weekly Purchases'!$O$2:$O$503,'Weekly Purchases'!$B$2:$B$503,"",'Weekly Purchases'!$A$2:$A$503,"&lt;="&amp;$A402))</f>
        <v/>
      </c>
      <c r="N402" s="8" t="str">
        <f t="shared" si="26"/>
        <v/>
      </c>
      <c r="O402" s="8" t="str">
        <f t="shared" si="27"/>
        <v/>
      </c>
      <c r="P402" s="4"/>
    </row>
    <row r="403" spans="1:16">
      <c r="A403" s="6"/>
      <c r="B403" s="7"/>
      <c r="C403" s="7"/>
      <c r="D403" s="8" t="str">
        <f t="shared" si="24"/>
        <v/>
      </c>
      <c r="E403" s="7"/>
      <c r="F403" s="7"/>
      <c r="G403" s="7"/>
      <c r="H403" s="7"/>
      <c r="I403" s="8" t="str">
        <f t="shared" si="25"/>
        <v/>
      </c>
      <c r="J403" s="8"/>
      <c r="K403" s="8"/>
      <c r="L403" s="8" t="str">
        <f>IF($A403="","",Settings!$B$3+SUMIFS($B$2:$B$495,$A$2:$A$495,"&lt;="&amp;$A403)-SUMIFS($J$2:$J$495,$A$2:$A$495,"&lt;="&amp;$A403)-SUMIFS('Weekly Purchases'!$N$2:$N$503,'Weekly Purchases'!$B$2:$B$503,"&lt;&gt;",'Weekly Purchases'!$B$2:$B$503,"&lt;="&amp;$A403)-SUMIFS('Weekly Purchases'!$N$2:$N$503,'Weekly Purchases'!$B$2:$B$503,"",'Weekly Purchases'!$A$2:$A$503,"&lt;="&amp;$A403))</f>
        <v/>
      </c>
      <c r="M403" s="8" t="str">
        <f>IF($A403="","",Settings!$B$4+SUMIFS($C$2:$C$495,$A$2:$A$495,"&lt;="&amp;$A403)-SUMIFS($K$2:$K$495,$A$2:$A$495,"&lt;="&amp;$A403)-SUMIFS('Weekly Purchases'!$O$2:$O$503,'Weekly Purchases'!$B$2:$B$503,"&lt;&gt;",'Weekly Purchases'!$B$2:$B$503,"&lt;="&amp;$A403)-SUMIFS('Weekly Purchases'!$O$2:$O$503,'Weekly Purchases'!$B$2:$B$503,"",'Weekly Purchases'!$A$2:$A$503,"&lt;="&amp;$A403))</f>
        <v/>
      </c>
      <c r="N403" s="8" t="str">
        <f t="shared" si="26"/>
        <v/>
      </c>
      <c r="O403" s="8" t="str">
        <f t="shared" si="27"/>
        <v/>
      </c>
      <c r="P403" s="4"/>
    </row>
    <row r="404" spans="1:16">
      <c r="A404" s="6"/>
      <c r="B404" s="7"/>
      <c r="C404" s="7"/>
      <c r="D404" s="8" t="str">
        <f t="shared" si="24"/>
        <v/>
      </c>
      <c r="E404" s="7"/>
      <c r="F404" s="7"/>
      <c r="G404" s="7"/>
      <c r="H404" s="7"/>
      <c r="I404" s="8" t="str">
        <f t="shared" si="25"/>
        <v/>
      </c>
      <c r="J404" s="8"/>
      <c r="K404" s="8"/>
      <c r="L404" s="8" t="str">
        <f>IF($A404="","",Settings!$B$3+SUMIFS($B$2:$B$495,$A$2:$A$495,"&lt;="&amp;$A404)-SUMIFS($J$2:$J$495,$A$2:$A$495,"&lt;="&amp;$A404)-SUMIFS('Weekly Purchases'!$N$2:$N$503,'Weekly Purchases'!$B$2:$B$503,"&lt;&gt;",'Weekly Purchases'!$B$2:$B$503,"&lt;="&amp;$A404)-SUMIFS('Weekly Purchases'!$N$2:$N$503,'Weekly Purchases'!$B$2:$B$503,"",'Weekly Purchases'!$A$2:$A$503,"&lt;="&amp;$A404))</f>
        <v/>
      </c>
      <c r="M404" s="8" t="str">
        <f>IF($A404="","",Settings!$B$4+SUMIFS($C$2:$C$495,$A$2:$A$495,"&lt;="&amp;$A404)-SUMIFS($K$2:$K$495,$A$2:$A$495,"&lt;="&amp;$A404)-SUMIFS('Weekly Purchases'!$O$2:$O$503,'Weekly Purchases'!$B$2:$B$503,"&lt;&gt;",'Weekly Purchases'!$B$2:$B$503,"&lt;="&amp;$A404)-SUMIFS('Weekly Purchases'!$O$2:$O$503,'Weekly Purchases'!$B$2:$B$503,"",'Weekly Purchases'!$A$2:$A$503,"&lt;="&amp;$A404))</f>
        <v/>
      </c>
      <c r="N404" s="8" t="str">
        <f t="shared" si="26"/>
        <v/>
      </c>
      <c r="O404" s="8" t="str">
        <f t="shared" si="27"/>
        <v/>
      </c>
      <c r="P404" s="4"/>
    </row>
    <row r="405" spans="1:16">
      <c r="A405" s="6"/>
      <c r="B405" s="7"/>
      <c r="C405" s="7"/>
      <c r="D405" s="8" t="str">
        <f t="shared" si="24"/>
        <v/>
      </c>
      <c r="E405" s="7"/>
      <c r="F405" s="7"/>
      <c r="G405" s="7"/>
      <c r="H405" s="7"/>
      <c r="I405" s="8" t="str">
        <f t="shared" si="25"/>
        <v/>
      </c>
      <c r="J405" s="8"/>
      <c r="K405" s="8"/>
      <c r="L405" s="8" t="str">
        <f>IF($A405="","",Settings!$B$3+SUMIFS($B$2:$B$495,$A$2:$A$495,"&lt;="&amp;$A405)-SUMIFS($J$2:$J$495,$A$2:$A$495,"&lt;="&amp;$A405)-SUMIFS('Weekly Purchases'!$N$2:$N$503,'Weekly Purchases'!$B$2:$B$503,"&lt;&gt;",'Weekly Purchases'!$B$2:$B$503,"&lt;="&amp;$A405)-SUMIFS('Weekly Purchases'!$N$2:$N$503,'Weekly Purchases'!$B$2:$B$503,"",'Weekly Purchases'!$A$2:$A$503,"&lt;="&amp;$A405))</f>
        <v/>
      </c>
      <c r="M405" s="8" t="str">
        <f>IF($A405="","",Settings!$B$4+SUMIFS($C$2:$C$495,$A$2:$A$495,"&lt;="&amp;$A405)-SUMIFS($K$2:$K$495,$A$2:$A$495,"&lt;="&amp;$A405)-SUMIFS('Weekly Purchases'!$O$2:$O$503,'Weekly Purchases'!$B$2:$B$503,"&lt;&gt;",'Weekly Purchases'!$B$2:$B$503,"&lt;="&amp;$A405)-SUMIFS('Weekly Purchases'!$O$2:$O$503,'Weekly Purchases'!$B$2:$B$503,"",'Weekly Purchases'!$A$2:$A$503,"&lt;="&amp;$A405))</f>
        <v/>
      </c>
      <c r="N405" s="8" t="str">
        <f t="shared" si="26"/>
        <v/>
      </c>
      <c r="O405" s="8" t="str">
        <f t="shared" si="27"/>
        <v/>
      </c>
      <c r="P405" s="4"/>
    </row>
    <row r="406" spans="1:16">
      <c r="A406" s="6"/>
      <c r="B406" s="7"/>
      <c r="C406" s="7"/>
      <c r="D406" s="8" t="str">
        <f t="shared" si="24"/>
        <v/>
      </c>
      <c r="E406" s="7"/>
      <c r="F406" s="7"/>
      <c r="G406" s="7"/>
      <c r="H406" s="7"/>
      <c r="I406" s="8" t="str">
        <f t="shared" si="25"/>
        <v/>
      </c>
      <c r="J406" s="8"/>
      <c r="K406" s="8"/>
      <c r="L406" s="8" t="str">
        <f>IF($A406="","",Settings!$B$3+SUMIFS($B$2:$B$495,$A$2:$A$495,"&lt;="&amp;$A406)-SUMIFS($J$2:$J$495,$A$2:$A$495,"&lt;="&amp;$A406)-SUMIFS('Weekly Purchases'!$N$2:$N$503,'Weekly Purchases'!$B$2:$B$503,"&lt;&gt;",'Weekly Purchases'!$B$2:$B$503,"&lt;="&amp;$A406)-SUMIFS('Weekly Purchases'!$N$2:$N$503,'Weekly Purchases'!$B$2:$B$503,"",'Weekly Purchases'!$A$2:$A$503,"&lt;="&amp;$A406))</f>
        <v/>
      </c>
      <c r="M406" s="8" t="str">
        <f>IF($A406="","",Settings!$B$4+SUMIFS($C$2:$C$495,$A$2:$A$495,"&lt;="&amp;$A406)-SUMIFS($K$2:$K$495,$A$2:$A$495,"&lt;="&amp;$A406)-SUMIFS('Weekly Purchases'!$O$2:$O$503,'Weekly Purchases'!$B$2:$B$503,"&lt;&gt;",'Weekly Purchases'!$B$2:$B$503,"&lt;="&amp;$A406)-SUMIFS('Weekly Purchases'!$O$2:$O$503,'Weekly Purchases'!$B$2:$B$503,"",'Weekly Purchases'!$A$2:$A$503,"&lt;="&amp;$A406))</f>
        <v/>
      </c>
      <c r="N406" s="8" t="str">
        <f t="shared" si="26"/>
        <v/>
      </c>
      <c r="O406" s="8" t="str">
        <f t="shared" si="27"/>
        <v/>
      </c>
      <c r="P406" s="4"/>
    </row>
    <row r="407" spans="1:16">
      <c r="A407" s="6"/>
      <c r="B407" s="7"/>
      <c r="C407" s="7"/>
      <c r="D407" s="8" t="str">
        <f t="shared" si="24"/>
        <v/>
      </c>
      <c r="E407" s="7"/>
      <c r="F407" s="7"/>
      <c r="G407" s="7"/>
      <c r="H407" s="7"/>
      <c r="I407" s="8" t="str">
        <f t="shared" si="25"/>
        <v/>
      </c>
      <c r="J407" s="8"/>
      <c r="K407" s="8"/>
      <c r="L407" s="8" t="str">
        <f>IF($A407="","",Settings!$B$3+SUMIFS($B$2:$B$495,$A$2:$A$495,"&lt;="&amp;$A407)-SUMIFS($J$2:$J$495,$A$2:$A$495,"&lt;="&amp;$A407)-SUMIFS('Weekly Purchases'!$N$2:$N$503,'Weekly Purchases'!$B$2:$B$503,"&lt;&gt;",'Weekly Purchases'!$B$2:$B$503,"&lt;="&amp;$A407)-SUMIFS('Weekly Purchases'!$N$2:$N$503,'Weekly Purchases'!$B$2:$B$503,"",'Weekly Purchases'!$A$2:$A$503,"&lt;="&amp;$A407))</f>
        <v/>
      </c>
      <c r="M407" s="8" t="str">
        <f>IF($A407="","",Settings!$B$4+SUMIFS($C$2:$C$495,$A$2:$A$495,"&lt;="&amp;$A407)-SUMIFS($K$2:$K$495,$A$2:$A$495,"&lt;="&amp;$A407)-SUMIFS('Weekly Purchases'!$O$2:$O$503,'Weekly Purchases'!$B$2:$B$503,"&lt;&gt;",'Weekly Purchases'!$B$2:$B$503,"&lt;="&amp;$A407)-SUMIFS('Weekly Purchases'!$O$2:$O$503,'Weekly Purchases'!$B$2:$B$503,"",'Weekly Purchases'!$A$2:$A$503,"&lt;="&amp;$A407))</f>
        <v/>
      </c>
      <c r="N407" s="8" t="str">
        <f t="shared" si="26"/>
        <v/>
      </c>
      <c r="O407" s="8" t="str">
        <f t="shared" si="27"/>
        <v/>
      </c>
      <c r="P407" s="4"/>
    </row>
    <row r="408" spans="1:16">
      <c r="A408" s="6"/>
      <c r="B408" s="7"/>
      <c r="C408" s="7"/>
      <c r="D408" s="8" t="str">
        <f t="shared" si="24"/>
        <v/>
      </c>
      <c r="E408" s="7"/>
      <c r="F408" s="7"/>
      <c r="G408" s="7"/>
      <c r="H408" s="7"/>
      <c r="I408" s="8" t="str">
        <f t="shared" si="25"/>
        <v/>
      </c>
      <c r="J408" s="8"/>
      <c r="K408" s="8"/>
      <c r="L408" s="8" t="str">
        <f>IF($A408="","",Settings!$B$3+SUMIFS($B$2:$B$495,$A$2:$A$495,"&lt;="&amp;$A408)-SUMIFS($J$2:$J$495,$A$2:$A$495,"&lt;="&amp;$A408)-SUMIFS('Weekly Purchases'!$N$2:$N$503,'Weekly Purchases'!$B$2:$B$503,"&lt;&gt;",'Weekly Purchases'!$B$2:$B$503,"&lt;="&amp;$A408)-SUMIFS('Weekly Purchases'!$N$2:$N$503,'Weekly Purchases'!$B$2:$B$503,"",'Weekly Purchases'!$A$2:$A$503,"&lt;="&amp;$A408))</f>
        <v/>
      </c>
      <c r="M408" s="8" t="str">
        <f>IF($A408="","",Settings!$B$4+SUMIFS($C$2:$C$495,$A$2:$A$495,"&lt;="&amp;$A408)-SUMIFS($K$2:$K$495,$A$2:$A$495,"&lt;="&amp;$A408)-SUMIFS('Weekly Purchases'!$O$2:$O$503,'Weekly Purchases'!$B$2:$B$503,"&lt;&gt;",'Weekly Purchases'!$B$2:$B$503,"&lt;="&amp;$A408)-SUMIFS('Weekly Purchases'!$O$2:$O$503,'Weekly Purchases'!$B$2:$B$503,"",'Weekly Purchases'!$A$2:$A$503,"&lt;="&amp;$A408))</f>
        <v/>
      </c>
      <c r="N408" s="8" t="str">
        <f t="shared" si="26"/>
        <v/>
      </c>
      <c r="O408" s="8" t="str">
        <f t="shared" si="27"/>
        <v/>
      </c>
      <c r="P408" s="4"/>
    </row>
    <row r="409" spans="1:16">
      <c r="A409" s="6"/>
      <c r="B409" s="7"/>
      <c r="C409" s="7"/>
      <c r="D409" s="8" t="str">
        <f t="shared" si="24"/>
        <v/>
      </c>
      <c r="E409" s="7"/>
      <c r="F409" s="7"/>
      <c r="G409" s="7"/>
      <c r="H409" s="7"/>
      <c r="I409" s="8" t="str">
        <f t="shared" si="25"/>
        <v/>
      </c>
      <c r="J409" s="8"/>
      <c r="K409" s="8"/>
      <c r="L409" s="8" t="str">
        <f>IF($A409="","",Settings!$B$3+SUMIFS($B$2:$B$495,$A$2:$A$495,"&lt;="&amp;$A409)-SUMIFS($J$2:$J$495,$A$2:$A$495,"&lt;="&amp;$A409)-SUMIFS('Weekly Purchases'!$N$2:$N$503,'Weekly Purchases'!$B$2:$B$503,"&lt;&gt;",'Weekly Purchases'!$B$2:$B$503,"&lt;="&amp;$A409)-SUMIFS('Weekly Purchases'!$N$2:$N$503,'Weekly Purchases'!$B$2:$B$503,"",'Weekly Purchases'!$A$2:$A$503,"&lt;="&amp;$A409))</f>
        <v/>
      </c>
      <c r="M409" s="8" t="str">
        <f>IF($A409="","",Settings!$B$4+SUMIFS($C$2:$C$495,$A$2:$A$495,"&lt;="&amp;$A409)-SUMIFS($K$2:$K$495,$A$2:$A$495,"&lt;="&amp;$A409)-SUMIFS('Weekly Purchases'!$O$2:$O$503,'Weekly Purchases'!$B$2:$B$503,"&lt;&gt;",'Weekly Purchases'!$B$2:$B$503,"&lt;="&amp;$A409)-SUMIFS('Weekly Purchases'!$O$2:$O$503,'Weekly Purchases'!$B$2:$B$503,"",'Weekly Purchases'!$A$2:$A$503,"&lt;="&amp;$A409))</f>
        <v/>
      </c>
      <c r="N409" s="8" t="str">
        <f t="shared" si="26"/>
        <v/>
      </c>
      <c r="O409" s="8" t="str">
        <f t="shared" si="27"/>
        <v/>
      </c>
      <c r="P409" s="4"/>
    </row>
    <row r="410" spans="1:16">
      <c r="A410" s="6"/>
      <c r="B410" s="7"/>
      <c r="C410" s="7"/>
      <c r="D410" s="8" t="str">
        <f t="shared" si="24"/>
        <v/>
      </c>
      <c r="E410" s="7"/>
      <c r="F410" s="7"/>
      <c r="G410" s="7"/>
      <c r="H410" s="7"/>
      <c r="I410" s="8" t="str">
        <f t="shared" si="25"/>
        <v/>
      </c>
      <c r="J410" s="8"/>
      <c r="K410" s="8"/>
      <c r="L410" s="8" t="str">
        <f>IF($A410="","",Settings!$B$3+SUMIFS($B$2:$B$495,$A$2:$A$495,"&lt;="&amp;$A410)-SUMIFS($J$2:$J$495,$A$2:$A$495,"&lt;="&amp;$A410)-SUMIFS('Weekly Purchases'!$N$2:$N$503,'Weekly Purchases'!$B$2:$B$503,"&lt;&gt;",'Weekly Purchases'!$B$2:$B$503,"&lt;="&amp;$A410)-SUMIFS('Weekly Purchases'!$N$2:$N$503,'Weekly Purchases'!$B$2:$B$503,"",'Weekly Purchases'!$A$2:$A$503,"&lt;="&amp;$A410))</f>
        <v/>
      </c>
      <c r="M410" s="8" t="str">
        <f>IF($A410="","",Settings!$B$4+SUMIFS($C$2:$C$495,$A$2:$A$495,"&lt;="&amp;$A410)-SUMIFS($K$2:$K$495,$A$2:$A$495,"&lt;="&amp;$A410)-SUMIFS('Weekly Purchases'!$O$2:$O$503,'Weekly Purchases'!$B$2:$B$503,"&lt;&gt;",'Weekly Purchases'!$B$2:$B$503,"&lt;="&amp;$A410)-SUMIFS('Weekly Purchases'!$O$2:$O$503,'Weekly Purchases'!$B$2:$B$503,"",'Weekly Purchases'!$A$2:$A$503,"&lt;="&amp;$A410))</f>
        <v/>
      </c>
      <c r="N410" s="8" t="str">
        <f t="shared" si="26"/>
        <v/>
      </c>
      <c r="O410" s="8" t="str">
        <f t="shared" si="27"/>
        <v/>
      </c>
      <c r="P410" s="4"/>
    </row>
    <row r="411" spans="1:16">
      <c r="A411" s="6"/>
      <c r="B411" s="7"/>
      <c r="C411" s="7"/>
      <c r="D411" s="8" t="str">
        <f t="shared" si="24"/>
        <v/>
      </c>
      <c r="E411" s="7"/>
      <c r="F411" s="7"/>
      <c r="G411" s="7"/>
      <c r="H411" s="7"/>
      <c r="I411" s="8" t="str">
        <f t="shared" si="25"/>
        <v/>
      </c>
      <c r="J411" s="8"/>
      <c r="K411" s="8"/>
      <c r="L411" s="8" t="str">
        <f>IF($A411="","",Settings!$B$3+SUMIFS($B$2:$B$495,$A$2:$A$495,"&lt;="&amp;$A411)-SUMIFS($J$2:$J$495,$A$2:$A$495,"&lt;="&amp;$A411)-SUMIFS('Weekly Purchases'!$N$2:$N$503,'Weekly Purchases'!$B$2:$B$503,"&lt;&gt;",'Weekly Purchases'!$B$2:$B$503,"&lt;="&amp;$A411)-SUMIFS('Weekly Purchases'!$N$2:$N$503,'Weekly Purchases'!$B$2:$B$503,"",'Weekly Purchases'!$A$2:$A$503,"&lt;="&amp;$A411))</f>
        <v/>
      </c>
      <c r="M411" s="8" t="str">
        <f>IF($A411="","",Settings!$B$4+SUMIFS($C$2:$C$495,$A$2:$A$495,"&lt;="&amp;$A411)-SUMIFS($K$2:$K$495,$A$2:$A$495,"&lt;="&amp;$A411)-SUMIFS('Weekly Purchases'!$O$2:$O$503,'Weekly Purchases'!$B$2:$B$503,"&lt;&gt;",'Weekly Purchases'!$B$2:$B$503,"&lt;="&amp;$A411)-SUMIFS('Weekly Purchases'!$O$2:$O$503,'Weekly Purchases'!$B$2:$B$503,"",'Weekly Purchases'!$A$2:$A$503,"&lt;="&amp;$A411))</f>
        <v/>
      </c>
      <c r="N411" s="8" t="str">
        <f t="shared" si="26"/>
        <v/>
      </c>
      <c r="O411" s="8" t="str">
        <f t="shared" si="27"/>
        <v/>
      </c>
      <c r="P411" s="4"/>
    </row>
    <row r="412" spans="1:16">
      <c r="A412" s="6"/>
      <c r="B412" s="7"/>
      <c r="C412" s="7"/>
      <c r="D412" s="8" t="str">
        <f t="shared" si="24"/>
        <v/>
      </c>
      <c r="E412" s="7"/>
      <c r="F412" s="7"/>
      <c r="G412" s="7"/>
      <c r="H412" s="7"/>
      <c r="I412" s="8" t="str">
        <f t="shared" si="25"/>
        <v/>
      </c>
      <c r="J412" s="8"/>
      <c r="K412" s="8"/>
      <c r="L412" s="8" t="str">
        <f>IF($A412="","",Settings!$B$3+SUMIFS($B$2:$B$495,$A$2:$A$495,"&lt;="&amp;$A412)-SUMIFS($J$2:$J$495,$A$2:$A$495,"&lt;="&amp;$A412)-SUMIFS('Weekly Purchases'!$N$2:$N$503,'Weekly Purchases'!$B$2:$B$503,"&lt;&gt;",'Weekly Purchases'!$B$2:$B$503,"&lt;="&amp;$A412)-SUMIFS('Weekly Purchases'!$N$2:$N$503,'Weekly Purchases'!$B$2:$B$503,"",'Weekly Purchases'!$A$2:$A$503,"&lt;="&amp;$A412))</f>
        <v/>
      </c>
      <c r="M412" s="8" t="str">
        <f>IF($A412="","",Settings!$B$4+SUMIFS($C$2:$C$495,$A$2:$A$495,"&lt;="&amp;$A412)-SUMIFS($K$2:$K$495,$A$2:$A$495,"&lt;="&amp;$A412)-SUMIFS('Weekly Purchases'!$O$2:$O$503,'Weekly Purchases'!$B$2:$B$503,"&lt;&gt;",'Weekly Purchases'!$B$2:$B$503,"&lt;="&amp;$A412)-SUMIFS('Weekly Purchases'!$O$2:$O$503,'Weekly Purchases'!$B$2:$B$503,"",'Weekly Purchases'!$A$2:$A$503,"&lt;="&amp;$A412))</f>
        <v/>
      </c>
      <c r="N412" s="8" t="str">
        <f t="shared" si="26"/>
        <v/>
      </c>
      <c r="O412" s="8" t="str">
        <f t="shared" si="27"/>
        <v/>
      </c>
      <c r="P412" s="4"/>
    </row>
    <row r="413" spans="1:16">
      <c r="A413" s="6"/>
      <c r="B413" s="7"/>
      <c r="C413" s="7"/>
      <c r="D413" s="8" t="str">
        <f t="shared" si="24"/>
        <v/>
      </c>
      <c r="E413" s="7"/>
      <c r="F413" s="7"/>
      <c r="G413" s="7"/>
      <c r="H413" s="7"/>
      <c r="I413" s="8" t="str">
        <f t="shared" si="25"/>
        <v/>
      </c>
      <c r="J413" s="8"/>
      <c r="K413" s="8"/>
      <c r="L413" s="8" t="str">
        <f>IF($A413="","",Settings!$B$3+SUMIFS($B$2:$B$495,$A$2:$A$495,"&lt;="&amp;$A413)-SUMIFS($J$2:$J$495,$A$2:$A$495,"&lt;="&amp;$A413)-SUMIFS('Weekly Purchases'!$N$2:$N$503,'Weekly Purchases'!$B$2:$B$503,"&lt;&gt;",'Weekly Purchases'!$B$2:$B$503,"&lt;="&amp;$A413)-SUMIFS('Weekly Purchases'!$N$2:$N$503,'Weekly Purchases'!$B$2:$B$503,"",'Weekly Purchases'!$A$2:$A$503,"&lt;="&amp;$A413))</f>
        <v/>
      </c>
      <c r="M413" s="8" t="str">
        <f>IF($A413="","",Settings!$B$4+SUMIFS($C$2:$C$495,$A$2:$A$495,"&lt;="&amp;$A413)-SUMIFS($K$2:$K$495,$A$2:$A$495,"&lt;="&amp;$A413)-SUMIFS('Weekly Purchases'!$O$2:$O$503,'Weekly Purchases'!$B$2:$B$503,"&lt;&gt;",'Weekly Purchases'!$B$2:$B$503,"&lt;="&amp;$A413)-SUMIFS('Weekly Purchases'!$O$2:$O$503,'Weekly Purchases'!$B$2:$B$503,"",'Weekly Purchases'!$A$2:$A$503,"&lt;="&amp;$A413))</f>
        <v/>
      </c>
      <c r="N413" s="8" t="str">
        <f t="shared" si="26"/>
        <v/>
      </c>
      <c r="O413" s="8" t="str">
        <f t="shared" si="27"/>
        <v/>
      </c>
      <c r="P413" s="4"/>
    </row>
    <row r="414" spans="1:16">
      <c r="A414" s="6"/>
      <c r="B414" s="7"/>
      <c r="C414" s="7"/>
      <c r="D414" s="8" t="str">
        <f t="shared" si="24"/>
        <v/>
      </c>
      <c r="E414" s="7"/>
      <c r="F414" s="7"/>
      <c r="G414" s="7"/>
      <c r="H414" s="7"/>
      <c r="I414" s="8" t="str">
        <f t="shared" si="25"/>
        <v/>
      </c>
      <c r="J414" s="8"/>
      <c r="K414" s="8"/>
      <c r="L414" s="8" t="str">
        <f>IF($A414="","",Settings!$B$3+SUMIFS($B$2:$B$495,$A$2:$A$495,"&lt;="&amp;$A414)-SUMIFS($J$2:$J$495,$A$2:$A$495,"&lt;="&amp;$A414)-SUMIFS('Weekly Purchases'!$N$2:$N$503,'Weekly Purchases'!$B$2:$B$503,"&lt;&gt;",'Weekly Purchases'!$B$2:$B$503,"&lt;="&amp;$A414)-SUMIFS('Weekly Purchases'!$N$2:$N$503,'Weekly Purchases'!$B$2:$B$503,"",'Weekly Purchases'!$A$2:$A$503,"&lt;="&amp;$A414))</f>
        <v/>
      </c>
      <c r="M414" s="8" t="str">
        <f>IF($A414="","",Settings!$B$4+SUMIFS($C$2:$C$495,$A$2:$A$495,"&lt;="&amp;$A414)-SUMIFS($K$2:$K$495,$A$2:$A$495,"&lt;="&amp;$A414)-SUMIFS('Weekly Purchases'!$O$2:$O$503,'Weekly Purchases'!$B$2:$B$503,"&lt;&gt;",'Weekly Purchases'!$B$2:$B$503,"&lt;="&amp;$A414)-SUMIFS('Weekly Purchases'!$O$2:$O$503,'Weekly Purchases'!$B$2:$B$503,"",'Weekly Purchases'!$A$2:$A$503,"&lt;="&amp;$A414))</f>
        <v/>
      </c>
      <c r="N414" s="8" t="str">
        <f t="shared" si="26"/>
        <v/>
      </c>
      <c r="O414" s="8" t="str">
        <f t="shared" si="27"/>
        <v/>
      </c>
      <c r="P414" s="4"/>
    </row>
    <row r="415" spans="1:16">
      <c r="A415" s="6"/>
      <c r="B415" s="7"/>
      <c r="C415" s="7"/>
      <c r="D415" s="8" t="str">
        <f t="shared" si="24"/>
        <v/>
      </c>
      <c r="E415" s="7"/>
      <c r="F415" s="7"/>
      <c r="G415" s="7"/>
      <c r="H415" s="7"/>
      <c r="I415" s="8" t="str">
        <f t="shared" si="25"/>
        <v/>
      </c>
      <c r="J415" s="8"/>
      <c r="K415" s="8"/>
      <c r="L415" s="8" t="str">
        <f>IF($A415="","",Settings!$B$3+SUMIFS($B$2:$B$495,$A$2:$A$495,"&lt;="&amp;$A415)-SUMIFS($J$2:$J$495,$A$2:$A$495,"&lt;="&amp;$A415)-SUMIFS('Weekly Purchases'!$N$2:$N$503,'Weekly Purchases'!$B$2:$B$503,"&lt;&gt;",'Weekly Purchases'!$B$2:$B$503,"&lt;="&amp;$A415)-SUMIFS('Weekly Purchases'!$N$2:$N$503,'Weekly Purchases'!$B$2:$B$503,"",'Weekly Purchases'!$A$2:$A$503,"&lt;="&amp;$A415))</f>
        <v/>
      </c>
      <c r="M415" s="8" t="str">
        <f>IF($A415="","",Settings!$B$4+SUMIFS($C$2:$C$495,$A$2:$A$495,"&lt;="&amp;$A415)-SUMIFS($K$2:$K$495,$A$2:$A$495,"&lt;="&amp;$A415)-SUMIFS('Weekly Purchases'!$O$2:$O$503,'Weekly Purchases'!$B$2:$B$503,"&lt;&gt;",'Weekly Purchases'!$B$2:$B$503,"&lt;="&amp;$A415)-SUMIFS('Weekly Purchases'!$O$2:$O$503,'Weekly Purchases'!$B$2:$B$503,"",'Weekly Purchases'!$A$2:$A$503,"&lt;="&amp;$A415))</f>
        <v/>
      </c>
      <c r="N415" s="8" t="str">
        <f t="shared" si="26"/>
        <v/>
      </c>
      <c r="O415" s="8" t="str">
        <f t="shared" si="27"/>
        <v/>
      </c>
      <c r="P415" s="4"/>
    </row>
    <row r="416" spans="1:16">
      <c r="A416" s="6"/>
      <c r="B416" s="7"/>
      <c r="C416" s="7"/>
      <c r="D416" s="8" t="str">
        <f t="shared" si="24"/>
        <v/>
      </c>
      <c r="E416" s="7"/>
      <c r="F416" s="7"/>
      <c r="G416" s="7"/>
      <c r="H416" s="7"/>
      <c r="I416" s="8" t="str">
        <f t="shared" si="25"/>
        <v/>
      </c>
      <c r="J416" s="8"/>
      <c r="K416" s="8"/>
      <c r="L416" s="8" t="str">
        <f>IF($A416="","",Settings!$B$3+SUMIFS($B$2:$B$495,$A$2:$A$495,"&lt;="&amp;$A416)-SUMIFS($J$2:$J$495,$A$2:$A$495,"&lt;="&amp;$A416)-SUMIFS('Weekly Purchases'!$N$2:$N$503,'Weekly Purchases'!$B$2:$B$503,"&lt;&gt;",'Weekly Purchases'!$B$2:$B$503,"&lt;="&amp;$A416)-SUMIFS('Weekly Purchases'!$N$2:$N$503,'Weekly Purchases'!$B$2:$B$503,"",'Weekly Purchases'!$A$2:$A$503,"&lt;="&amp;$A416))</f>
        <v/>
      </c>
      <c r="M416" s="8" t="str">
        <f>IF($A416="","",Settings!$B$4+SUMIFS($C$2:$C$495,$A$2:$A$495,"&lt;="&amp;$A416)-SUMIFS($K$2:$K$495,$A$2:$A$495,"&lt;="&amp;$A416)-SUMIFS('Weekly Purchases'!$O$2:$O$503,'Weekly Purchases'!$B$2:$B$503,"&lt;&gt;",'Weekly Purchases'!$B$2:$B$503,"&lt;="&amp;$A416)-SUMIFS('Weekly Purchases'!$O$2:$O$503,'Weekly Purchases'!$B$2:$B$503,"",'Weekly Purchases'!$A$2:$A$503,"&lt;="&amp;$A416))</f>
        <v/>
      </c>
      <c r="N416" s="8" t="str">
        <f t="shared" si="26"/>
        <v/>
      </c>
      <c r="O416" s="8" t="str">
        <f t="shared" si="27"/>
        <v/>
      </c>
      <c r="P416" s="4"/>
    </row>
    <row r="417" spans="1:16">
      <c r="A417" s="6"/>
      <c r="B417" s="7"/>
      <c r="C417" s="7"/>
      <c r="D417" s="8" t="str">
        <f t="shared" si="24"/>
        <v/>
      </c>
      <c r="E417" s="7"/>
      <c r="F417" s="7"/>
      <c r="G417" s="7"/>
      <c r="H417" s="7"/>
      <c r="I417" s="8" t="str">
        <f t="shared" si="25"/>
        <v/>
      </c>
      <c r="J417" s="8"/>
      <c r="K417" s="8"/>
      <c r="L417" s="8" t="str">
        <f>IF($A417="","",Settings!$B$3+SUMIFS($B$2:$B$495,$A$2:$A$495,"&lt;="&amp;$A417)-SUMIFS($J$2:$J$495,$A$2:$A$495,"&lt;="&amp;$A417)-SUMIFS('Weekly Purchases'!$N$2:$N$503,'Weekly Purchases'!$B$2:$B$503,"&lt;&gt;",'Weekly Purchases'!$B$2:$B$503,"&lt;="&amp;$A417)-SUMIFS('Weekly Purchases'!$N$2:$N$503,'Weekly Purchases'!$B$2:$B$503,"",'Weekly Purchases'!$A$2:$A$503,"&lt;="&amp;$A417))</f>
        <v/>
      </c>
      <c r="M417" s="8" t="str">
        <f>IF($A417="","",Settings!$B$4+SUMIFS($C$2:$C$495,$A$2:$A$495,"&lt;="&amp;$A417)-SUMIFS($K$2:$K$495,$A$2:$A$495,"&lt;="&amp;$A417)-SUMIFS('Weekly Purchases'!$O$2:$O$503,'Weekly Purchases'!$B$2:$B$503,"&lt;&gt;",'Weekly Purchases'!$B$2:$B$503,"&lt;="&amp;$A417)-SUMIFS('Weekly Purchases'!$O$2:$O$503,'Weekly Purchases'!$B$2:$B$503,"",'Weekly Purchases'!$A$2:$A$503,"&lt;="&amp;$A417))</f>
        <v/>
      </c>
      <c r="N417" s="8" t="str">
        <f t="shared" si="26"/>
        <v/>
      </c>
      <c r="O417" s="8" t="str">
        <f t="shared" si="27"/>
        <v/>
      </c>
      <c r="P417" s="4"/>
    </row>
    <row r="418" spans="1:16">
      <c r="A418" s="6"/>
      <c r="B418" s="7"/>
      <c r="C418" s="7"/>
      <c r="D418" s="8" t="str">
        <f t="shared" si="24"/>
        <v/>
      </c>
      <c r="E418" s="7"/>
      <c r="F418" s="7"/>
      <c r="G418" s="7"/>
      <c r="H418" s="7"/>
      <c r="I418" s="8" t="str">
        <f t="shared" si="25"/>
        <v/>
      </c>
      <c r="J418" s="8"/>
      <c r="K418" s="8"/>
      <c r="L418" s="8" t="str">
        <f>IF($A418="","",Settings!$B$3+SUMIFS($B$2:$B$495,$A$2:$A$495,"&lt;="&amp;$A418)-SUMIFS($J$2:$J$495,$A$2:$A$495,"&lt;="&amp;$A418)-SUMIFS('Weekly Purchases'!$N$2:$N$503,'Weekly Purchases'!$B$2:$B$503,"&lt;&gt;",'Weekly Purchases'!$B$2:$B$503,"&lt;="&amp;$A418)-SUMIFS('Weekly Purchases'!$N$2:$N$503,'Weekly Purchases'!$B$2:$B$503,"",'Weekly Purchases'!$A$2:$A$503,"&lt;="&amp;$A418))</f>
        <v/>
      </c>
      <c r="M418" s="8" t="str">
        <f>IF($A418="","",Settings!$B$4+SUMIFS($C$2:$C$495,$A$2:$A$495,"&lt;="&amp;$A418)-SUMIFS($K$2:$K$495,$A$2:$A$495,"&lt;="&amp;$A418)-SUMIFS('Weekly Purchases'!$O$2:$O$503,'Weekly Purchases'!$B$2:$B$503,"&lt;&gt;",'Weekly Purchases'!$B$2:$B$503,"&lt;="&amp;$A418)-SUMIFS('Weekly Purchases'!$O$2:$O$503,'Weekly Purchases'!$B$2:$B$503,"",'Weekly Purchases'!$A$2:$A$503,"&lt;="&amp;$A418))</f>
        <v/>
      </c>
      <c r="N418" s="8" t="str">
        <f t="shared" si="26"/>
        <v/>
      </c>
      <c r="O418" s="8" t="str">
        <f t="shared" si="27"/>
        <v/>
      </c>
      <c r="P418" s="4"/>
    </row>
    <row r="419" spans="1:16">
      <c r="A419" s="6"/>
      <c r="B419" s="7"/>
      <c r="C419" s="7"/>
      <c r="D419" s="8" t="str">
        <f t="shared" si="24"/>
        <v/>
      </c>
      <c r="E419" s="7"/>
      <c r="F419" s="7"/>
      <c r="G419" s="7"/>
      <c r="H419" s="7"/>
      <c r="I419" s="8" t="str">
        <f t="shared" si="25"/>
        <v/>
      </c>
      <c r="J419" s="8"/>
      <c r="K419" s="8"/>
      <c r="L419" s="8" t="str">
        <f>IF($A419="","",Settings!$B$3+SUMIFS($B$2:$B$495,$A$2:$A$495,"&lt;="&amp;$A419)-SUMIFS($J$2:$J$495,$A$2:$A$495,"&lt;="&amp;$A419)-SUMIFS('Weekly Purchases'!$N$2:$N$503,'Weekly Purchases'!$B$2:$B$503,"&lt;&gt;",'Weekly Purchases'!$B$2:$B$503,"&lt;="&amp;$A419)-SUMIFS('Weekly Purchases'!$N$2:$N$503,'Weekly Purchases'!$B$2:$B$503,"",'Weekly Purchases'!$A$2:$A$503,"&lt;="&amp;$A419))</f>
        <v/>
      </c>
      <c r="M419" s="8" t="str">
        <f>IF($A419="","",Settings!$B$4+SUMIFS($C$2:$C$495,$A$2:$A$495,"&lt;="&amp;$A419)-SUMIFS($K$2:$K$495,$A$2:$A$495,"&lt;="&amp;$A419)-SUMIFS('Weekly Purchases'!$O$2:$O$503,'Weekly Purchases'!$B$2:$B$503,"&lt;&gt;",'Weekly Purchases'!$B$2:$B$503,"&lt;="&amp;$A419)-SUMIFS('Weekly Purchases'!$O$2:$O$503,'Weekly Purchases'!$B$2:$B$503,"",'Weekly Purchases'!$A$2:$A$503,"&lt;="&amp;$A419))</f>
        <v/>
      </c>
      <c r="N419" s="8" t="str">
        <f t="shared" si="26"/>
        <v/>
      </c>
      <c r="O419" s="8" t="str">
        <f t="shared" si="27"/>
        <v/>
      </c>
      <c r="P419" s="4"/>
    </row>
    <row r="420" spans="1:16">
      <c r="A420" s="6"/>
      <c r="B420" s="7"/>
      <c r="C420" s="7"/>
      <c r="D420" s="8" t="str">
        <f t="shared" si="24"/>
        <v/>
      </c>
      <c r="E420" s="7"/>
      <c r="F420" s="7"/>
      <c r="G420" s="7"/>
      <c r="H420" s="7"/>
      <c r="I420" s="8" t="str">
        <f t="shared" si="25"/>
        <v/>
      </c>
      <c r="J420" s="8"/>
      <c r="K420" s="8"/>
      <c r="L420" s="8" t="str">
        <f>IF($A420="","",Settings!$B$3+SUMIFS($B$2:$B$495,$A$2:$A$495,"&lt;="&amp;$A420)-SUMIFS($J$2:$J$495,$A$2:$A$495,"&lt;="&amp;$A420)-SUMIFS('Weekly Purchases'!$N$2:$N$503,'Weekly Purchases'!$B$2:$B$503,"&lt;&gt;",'Weekly Purchases'!$B$2:$B$503,"&lt;="&amp;$A420)-SUMIFS('Weekly Purchases'!$N$2:$N$503,'Weekly Purchases'!$B$2:$B$503,"",'Weekly Purchases'!$A$2:$A$503,"&lt;="&amp;$A420))</f>
        <v/>
      </c>
      <c r="M420" s="8" t="str">
        <f>IF($A420="","",Settings!$B$4+SUMIFS($C$2:$C$495,$A$2:$A$495,"&lt;="&amp;$A420)-SUMIFS($K$2:$K$495,$A$2:$A$495,"&lt;="&amp;$A420)-SUMIFS('Weekly Purchases'!$O$2:$O$503,'Weekly Purchases'!$B$2:$B$503,"&lt;&gt;",'Weekly Purchases'!$B$2:$B$503,"&lt;="&amp;$A420)-SUMIFS('Weekly Purchases'!$O$2:$O$503,'Weekly Purchases'!$B$2:$B$503,"",'Weekly Purchases'!$A$2:$A$503,"&lt;="&amp;$A420))</f>
        <v/>
      </c>
      <c r="N420" s="8" t="str">
        <f t="shared" si="26"/>
        <v/>
      </c>
      <c r="O420" s="8" t="str">
        <f t="shared" si="27"/>
        <v/>
      </c>
      <c r="P420" s="4"/>
    </row>
    <row r="421" spans="1:16">
      <c r="A421" s="6"/>
      <c r="B421" s="7"/>
      <c r="C421" s="7"/>
      <c r="D421" s="8" t="str">
        <f t="shared" si="24"/>
        <v/>
      </c>
      <c r="E421" s="7"/>
      <c r="F421" s="7"/>
      <c r="G421" s="7"/>
      <c r="H421" s="7"/>
      <c r="I421" s="8" t="str">
        <f t="shared" si="25"/>
        <v/>
      </c>
      <c r="J421" s="8"/>
      <c r="K421" s="8"/>
      <c r="L421" s="8" t="str">
        <f>IF($A421="","",Settings!$B$3+SUMIFS($B$2:$B$495,$A$2:$A$495,"&lt;="&amp;$A421)-SUMIFS($J$2:$J$495,$A$2:$A$495,"&lt;="&amp;$A421)-SUMIFS('Weekly Purchases'!$N$2:$N$503,'Weekly Purchases'!$B$2:$B$503,"&lt;&gt;",'Weekly Purchases'!$B$2:$B$503,"&lt;="&amp;$A421)-SUMIFS('Weekly Purchases'!$N$2:$N$503,'Weekly Purchases'!$B$2:$B$503,"",'Weekly Purchases'!$A$2:$A$503,"&lt;="&amp;$A421))</f>
        <v/>
      </c>
      <c r="M421" s="8" t="str">
        <f>IF($A421="","",Settings!$B$4+SUMIFS($C$2:$C$495,$A$2:$A$495,"&lt;="&amp;$A421)-SUMIFS($K$2:$K$495,$A$2:$A$495,"&lt;="&amp;$A421)-SUMIFS('Weekly Purchases'!$O$2:$O$503,'Weekly Purchases'!$B$2:$B$503,"&lt;&gt;",'Weekly Purchases'!$B$2:$B$503,"&lt;="&amp;$A421)-SUMIFS('Weekly Purchases'!$O$2:$O$503,'Weekly Purchases'!$B$2:$B$503,"",'Weekly Purchases'!$A$2:$A$503,"&lt;="&amp;$A421))</f>
        <v/>
      </c>
      <c r="N421" s="8" t="str">
        <f t="shared" si="26"/>
        <v/>
      </c>
      <c r="O421" s="8" t="str">
        <f t="shared" si="27"/>
        <v/>
      </c>
      <c r="P421" s="4"/>
    </row>
    <row r="422" spans="1:16">
      <c r="A422" s="6"/>
      <c r="B422" s="7"/>
      <c r="C422" s="7"/>
      <c r="D422" s="8" t="str">
        <f t="shared" si="24"/>
        <v/>
      </c>
      <c r="E422" s="7"/>
      <c r="F422" s="7"/>
      <c r="G422" s="7"/>
      <c r="H422" s="7"/>
      <c r="I422" s="8" t="str">
        <f t="shared" si="25"/>
        <v/>
      </c>
      <c r="J422" s="8"/>
      <c r="K422" s="8"/>
      <c r="L422" s="8" t="str">
        <f>IF($A422="","",Settings!$B$3+SUMIFS($B$2:$B$495,$A$2:$A$495,"&lt;="&amp;$A422)-SUMIFS($J$2:$J$495,$A$2:$A$495,"&lt;="&amp;$A422)-SUMIFS('Weekly Purchases'!$N$2:$N$503,'Weekly Purchases'!$B$2:$B$503,"&lt;&gt;",'Weekly Purchases'!$B$2:$B$503,"&lt;="&amp;$A422)-SUMIFS('Weekly Purchases'!$N$2:$N$503,'Weekly Purchases'!$B$2:$B$503,"",'Weekly Purchases'!$A$2:$A$503,"&lt;="&amp;$A422))</f>
        <v/>
      </c>
      <c r="M422" s="8" t="str">
        <f>IF($A422="","",Settings!$B$4+SUMIFS($C$2:$C$495,$A$2:$A$495,"&lt;="&amp;$A422)-SUMIFS($K$2:$K$495,$A$2:$A$495,"&lt;="&amp;$A422)-SUMIFS('Weekly Purchases'!$O$2:$O$503,'Weekly Purchases'!$B$2:$B$503,"&lt;&gt;",'Weekly Purchases'!$B$2:$B$503,"&lt;="&amp;$A422)-SUMIFS('Weekly Purchases'!$O$2:$O$503,'Weekly Purchases'!$B$2:$B$503,"",'Weekly Purchases'!$A$2:$A$503,"&lt;="&amp;$A422))</f>
        <v/>
      </c>
      <c r="N422" s="8" t="str">
        <f t="shared" si="26"/>
        <v/>
      </c>
      <c r="O422" s="8" t="str">
        <f t="shared" si="27"/>
        <v/>
      </c>
      <c r="P422" s="4"/>
    </row>
    <row r="423" spans="1:16">
      <c r="A423" s="6"/>
      <c r="B423" s="7"/>
      <c r="C423" s="7"/>
      <c r="D423" s="8" t="str">
        <f t="shared" si="24"/>
        <v/>
      </c>
      <c r="E423" s="7"/>
      <c r="F423" s="7"/>
      <c r="G423" s="7"/>
      <c r="H423" s="7"/>
      <c r="I423" s="8" t="str">
        <f t="shared" si="25"/>
        <v/>
      </c>
      <c r="J423" s="8"/>
      <c r="K423" s="8"/>
      <c r="L423" s="8" t="str">
        <f>IF($A423="","",Settings!$B$3+SUMIFS($B$2:$B$495,$A$2:$A$495,"&lt;="&amp;$A423)-SUMIFS($J$2:$J$495,$A$2:$A$495,"&lt;="&amp;$A423)-SUMIFS('Weekly Purchases'!$N$2:$N$503,'Weekly Purchases'!$B$2:$B$503,"&lt;&gt;",'Weekly Purchases'!$B$2:$B$503,"&lt;="&amp;$A423)-SUMIFS('Weekly Purchases'!$N$2:$N$503,'Weekly Purchases'!$B$2:$B$503,"",'Weekly Purchases'!$A$2:$A$503,"&lt;="&amp;$A423))</f>
        <v/>
      </c>
      <c r="M423" s="8" t="str">
        <f>IF($A423="","",Settings!$B$4+SUMIFS($C$2:$C$495,$A$2:$A$495,"&lt;="&amp;$A423)-SUMIFS($K$2:$K$495,$A$2:$A$495,"&lt;="&amp;$A423)-SUMIFS('Weekly Purchases'!$O$2:$O$503,'Weekly Purchases'!$B$2:$B$503,"&lt;&gt;",'Weekly Purchases'!$B$2:$B$503,"&lt;="&amp;$A423)-SUMIFS('Weekly Purchases'!$O$2:$O$503,'Weekly Purchases'!$B$2:$B$503,"",'Weekly Purchases'!$A$2:$A$503,"&lt;="&amp;$A423))</f>
        <v/>
      </c>
      <c r="N423" s="8" t="str">
        <f t="shared" si="26"/>
        <v/>
      </c>
      <c r="O423" s="8" t="str">
        <f t="shared" si="27"/>
        <v/>
      </c>
      <c r="P423" s="4"/>
    </row>
    <row r="424" spans="1:16">
      <c r="A424" s="6"/>
      <c r="B424" s="7"/>
      <c r="C424" s="7"/>
      <c r="D424" s="8" t="str">
        <f t="shared" si="24"/>
        <v/>
      </c>
      <c r="E424" s="7"/>
      <c r="F424" s="7"/>
      <c r="G424" s="7"/>
      <c r="H424" s="7"/>
      <c r="I424" s="8" t="str">
        <f t="shared" si="25"/>
        <v/>
      </c>
      <c r="J424" s="8"/>
      <c r="K424" s="8"/>
      <c r="L424" s="8" t="str">
        <f>IF($A424="","",Settings!$B$3+SUMIFS($B$2:$B$495,$A$2:$A$495,"&lt;="&amp;$A424)-SUMIFS($J$2:$J$495,$A$2:$A$495,"&lt;="&amp;$A424)-SUMIFS('Weekly Purchases'!$N$2:$N$503,'Weekly Purchases'!$B$2:$B$503,"&lt;&gt;",'Weekly Purchases'!$B$2:$B$503,"&lt;="&amp;$A424)-SUMIFS('Weekly Purchases'!$N$2:$N$503,'Weekly Purchases'!$B$2:$B$503,"",'Weekly Purchases'!$A$2:$A$503,"&lt;="&amp;$A424))</f>
        <v/>
      </c>
      <c r="M424" s="8" t="str">
        <f>IF($A424="","",Settings!$B$4+SUMIFS($C$2:$C$495,$A$2:$A$495,"&lt;="&amp;$A424)-SUMIFS($K$2:$K$495,$A$2:$A$495,"&lt;="&amp;$A424)-SUMIFS('Weekly Purchases'!$O$2:$O$503,'Weekly Purchases'!$B$2:$B$503,"&lt;&gt;",'Weekly Purchases'!$B$2:$B$503,"&lt;="&amp;$A424)-SUMIFS('Weekly Purchases'!$O$2:$O$503,'Weekly Purchases'!$B$2:$B$503,"",'Weekly Purchases'!$A$2:$A$503,"&lt;="&amp;$A424))</f>
        <v/>
      </c>
      <c r="N424" s="8" t="str">
        <f t="shared" si="26"/>
        <v/>
      </c>
      <c r="O424" s="8" t="str">
        <f t="shared" si="27"/>
        <v/>
      </c>
      <c r="P424" s="4"/>
    </row>
    <row r="425" spans="1:16">
      <c r="A425" s="6"/>
      <c r="B425" s="7"/>
      <c r="C425" s="7"/>
      <c r="D425" s="8" t="str">
        <f t="shared" si="24"/>
        <v/>
      </c>
      <c r="E425" s="7"/>
      <c r="F425" s="7"/>
      <c r="G425" s="7"/>
      <c r="H425" s="7"/>
      <c r="I425" s="8" t="str">
        <f t="shared" si="25"/>
        <v/>
      </c>
      <c r="J425" s="8"/>
      <c r="K425" s="8"/>
      <c r="L425" s="8" t="str">
        <f>IF($A425="","",Settings!$B$3+SUMIFS($B$2:$B$495,$A$2:$A$495,"&lt;="&amp;$A425)-SUMIFS($J$2:$J$495,$A$2:$A$495,"&lt;="&amp;$A425)-SUMIFS('Weekly Purchases'!$N$2:$N$503,'Weekly Purchases'!$B$2:$B$503,"&lt;&gt;",'Weekly Purchases'!$B$2:$B$503,"&lt;="&amp;$A425)-SUMIFS('Weekly Purchases'!$N$2:$N$503,'Weekly Purchases'!$B$2:$B$503,"",'Weekly Purchases'!$A$2:$A$503,"&lt;="&amp;$A425))</f>
        <v/>
      </c>
      <c r="M425" s="8" t="str">
        <f>IF($A425="","",Settings!$B$4+SUMIFS($C$2:$C$495,$A$2:$A$495,"&lt;="&amp;$A425)-SUMIFS($K$2:$K$495,$A$2:$A$495,"&lt;="&amp;$A425)-SUMIFS('Weekly Purchases'!$O$2:$O$503,'Weekly Purchases'!$B$2:$B$503,"&lt;&gt;",'Weekly Purchases'!$B$2:$B$503,"&lt;="&amp;$A425)-SUMIFS('Weekly Purchases'!$O$2:$O$503,'Weekly Purchases'!$B$2:$B$503,"",'Weekly Purchases'!$A$2:$A$503,"&lt;="&amp;$A425))</f>
        <v/>
      </c>
      <c r="N425" s="8" t="str">
        <f t="shared" si="26"/>
        <v/>
      </c>
      <c r="O425" s="8" t="str">
        <f t="shared" si="27"/>
        <v/>
      </c>
      <c r="P425" s="4"/>
    </row>
    <row r="426" spans="1:16">
      <c r="A426" s="6"/>
      <c r="B426" s="7"/>
      <c r="C426" s="7"/>
      <c r="D426" s="8" t="str">
        <f t="shared" si="24"/>
        <v/>
      </c>
      <c r="E426" s="7"/>
      <c r="F426" s="7"/>
      <c r="G426" s="7"/>
      <c r="H426" s="7"/>
      <c r="I426" s="8" t="str">
        <f t="shared" si="25"/>
        <v/>
      </c>
      <c r="J426" s="8"/>
      <c r="K426" s="8"/>
      <c r="L426" s="8" t="str">
        <f>IF($A426="","",Settings!$B$3+SUMIFS($B$2:$B$495,$A$2:$A$495,"&lt;="&amp;$A426)-SUMIFS($J$2:$J$495,$A$2:$A$495,"&lt;="&amp;$A426)-SUMIFS('Weekly Purchases'!$N$2:$N$503,'Weekly Purchases'!$B$2:$B$503,"&lt;&gt;",'Weekly Purchases'!$B$2:$B$503,"&lt;="&amp;$A426)-SUMIFS('Weekly Purchases'!$N$2:$N$503,'Weekly Purchases'!$B$2:$B$503,"",'Weekly Purchases'!$A$2:$A$503,"&lt;="&amp;$A426))</f>
        <v/>
      </c>
      <c r="M426" s="8" t="str">
        <f>IF($A426="","",Settings!$B$4+SUMIFS($C$2:$C$495,$A$2:$A$495,"&lt;="&amp;$A426)-SUMIFS($K$2:$K$495,$A$2:$A$495,"&lt;="&amp;$A426)-SUMIFS('Weekly Purchases'!$O$2:$O$503,'Weekly Purchases'!$B$2:$B$503,"&lt;&gt;",'Weekly Purchases'!$B$2:$B$503,"&lt;="&amp;$A426)-SUMIFS('Weekly Purchases'!$O$2:$O$503,'Weekly Purchases'!$B$2:$B$503,"",'Weekly Purchases'!$A$2:$A$503,"&lt;="&amp;$A426))</f>
        <v/>
      </c>
      <c r="N426" s="8" t="str">
        <f t="shared" si="26"/>
        <v/>
      </c>
      <c r="O426" s="8" t="str">
        <f t="shared" si="27"/>
        <v/>
      </c>
      <c r="P426" s="4"/>
    </row>
    <row r="427" spans="1:16">
      <c r="A427" s="6"/>
      <c r="B427" s="7"/>
      <c r="C427" s="7"/>
      <c r="D427" s="8" t="str">
        <f t="shared" si="24"/>
        <v/>
      </c>
      <c r="E427" s="7"/>
      <c r="F427" s="7"/>
      <c r="G427" s="7"/>
      <c r="H427" s="7"/>
      <c r="I427" s="8" t="str">
        <f t="shared" si="25"/>
        <v/>
      </c>
      <c r="J427" s="8"/>
      <c r="K427" s="8"/>
      <c r="L427" s="8" t="str">
        <f>IF($A427="","",Settings!$B$3+SUMIFS($B$2:$B$495,$A$2:$A$495,"&lt;="&amp;$A427)-SUMIFS($J$2:$J$495,$A$2:$A$495,"&lt;="&amp;$A427)-SUMIFS('Weekly Purchases'!$N$2:$N$503,'Weekly Purchases'!$B$2:$B$503,"&lt;&gt;",'Weekly Purchases'!$B$2:$B$503,"&lt;="&amp;$A427)-SUMIFS('Weekly Purchases'!$N$2:$N$503,'Weekly Purchases'!$B$2:$B$503,"",'Weekly Purchases'!$A$2:$A$503,"&lt;="&amp;$A427))</f>
        <v/>
      </c>
      <c r="M427" s="8" t="str">
        <f>IF($A427="","",Settings!$B$4+SUMIFS($C$2:$C$495,$A$2:$A$495,"&lt;="&amp;$A427)-SUMIFS($K$2:$K$495,$A$2:$A$495,"&lt;="&amp;$A427)-SUMIFS('Weekly Purchases'!$O$2:$O$503,'Weekly Purchases'!$B$2:$B$503,"&lt;&gt;",'Weekly Purchases'!$B$2:$B$503,"&lt;="&amp;$A427)-SUMIFS('Weekly Purchases'!$O$2:$O$503,'Weekly Purchases'!$B$2:$B$503,"",'Weekly Purchases'!$A$2:$A$503,"&lt;="&amp;$A427))</f>
        <v/>
      </c>
      <c r="N427" s="8" t="str">
        <f t="shared" si="26"/>
        <v/>
      </c>
      <c r="O427" s="8" t="str">
        <f t="shared" si="27"/>
        <v/>
      </c>
      <c r="P427" s="4"/>
    </row>
    <row r="428" spans="1:16">
      <c r="A428" s="6"/>
      <c r="B428" s="7"/>
      <c r="C428" s="7"/>
      <c r="D428" s="8" t="str">
        <f t="shared" si="24"/>
        <v/>
      </c>
      <c r="E428" s="7"/>
      <c r="F428" s="7"/>
      <c r="G428" s="7"/>
      <c r="H428" s="7"/>
      <c r="I428" s="8" t="str">
        <f t="shared" si="25"/>
        <v/>
      </c>
      <c r="J428" s="8"/>
      <c r="K428" s="8"/>
      <c r="L428" s="8" t="str">
        <f>IF($A428="","",Settings!$B$3+SUMIFS($B$2:$B$495,$A$2:$A$495,"&lt;="&amp;$A428)-SUMIFS($J$2:$J$495,$A$2:$A$495,"&lt;="&amp;$A428)-SUMIFS('Weekly Purchases'!$N$2:$N$503,'Weekly Purchases'!$B$2:$B$503,"&lt;&gt;",'Weekly Purchases'!$B$2:$B$503,"&lt;="&amp;$A428)-SUMIFS('Weekly Purchases'!$N$2:$N$503,'Weekly Purchases'!$B$2:$B$503,"",'Weekly Purchases'!$A$2:$A$503,"&lt;="&amp;$A428))</f>
        <v/>
      </c>
      <c r="M428" s="8" t="str">
        <f>IF($A428="","",Settings!$B$4+SUMIFS($C$2:$C$495,$A$2:$A$495,"&lt;="&amp;$A428)-SUMIFS($K$2:$K$495,$A$2:$A$495,"&lt;="&amp;$A428)-SUMIFS('Weekly Purchases'!$O$2:$O$503,'Weekly Purchases'!$B$2:$B$503,"&lt;&gt;",'Weekly Purchases'!$B$2:$B$503,"&lt;="&amp;$A428)-SUMIFS('Weekly Purchases'!$O$2:$O$503,'Weekly Purchases'!$B$2:$B$503,"",'Weekly Purchases'!$A$2:$A$503,"&lt;="&amp;$A428))</f>
        <v/>
      </c>
      <c r="N428" s="8" t="str">
        <f t="shared" si="26"/>
        <v/>
      </c>
      <c r="O428" s="8" t="str">
        <f t="shared" si="27"/>
        <v/>
      </c>
      <c r="P428" s="4"/>
    </row>
    <row r="429" spans="1:16">
      <c r="A429" s="6"/>
      <c r="B429" s="7"/>
      <c r="C429" s="7"/>
      <c r="D429" s="8" t="str">
        <f t="shared" si="24"/>
        <v/>
      </c>
      <c r="E429" s="7"/>
      <c r="F429" s="7"/>
      <c r="G429" s="7"/>
      <c r="H429" s="7"/>
      <c r="I429" s="8" t="str">
        <f t="shared" si="25"/>
        <v/>
      </c>
      <c r="J429" s="8"/>
      <c r="K429" s="8"/>
      <c r="L429" s="8" t="str">
        <f>IF($A429="","",Settings!$B$3+SUMIFS($B$2:$B$495,$A$2:$A$495,"&lt;="&amp;$A429)-SUMIFS($J$2:$J$495,$A$2:$A$495,"&lt;="&amp;$A429)-SUMIFS('Weekly Purchases'!$N$2:$N$503,'Weekly Purchases'!$B$2:$B$503,"&lt;&gt;",'Weekly Purchases'!$B$2:$B$503,"&lt;="&amp;$A429)-SUMIFS('Weekly Purchases'!$N$2:$N$503,'Weekly Purchases'!$B$2:$B$503,"",'Weekly Purchases'!$A$2:$A$503,"&lt;="&amp;$A429))</f>
        <v/>
      </c>
      <c r="M429" s="8" t="str">
        <f>IF($A429="","",Settings!$B$4+SUMIFS($C$2:$C$495,$A$2:$A$495,"&lt;="&amp;$A429)-SUMIFS($K$2:$K$495,$A$2:$A$495,"&lt;="&amp;$A429)-SUMIFS('Weekly Purchases'!$O$2:$O$503,'Weekly Purchases'!$B$2:$B$503,"&lt;&gt;",'Weekly Purchases'!$B$2:$B$503,"&lt;="&amp;$A429)-SUMIFS('Weekly Purchases'!$O$2:$O$503,'Weekly Purchases'!$B$2:$B$503,"",'Weekly Purchases'!$A$2:$A$503,"&lt;="&amp;$A429))</f>
        <v/>
      </c>
      <c r="N429" s="8" t="str">
        <f t="shared" si="26"/>
        <v/>
      </c>
      <c r="O429" s="8" t="str">
        <f t="shared" si="27"/>
        <v/>
      </c>
      <c r="P429" s="4"/>
    </row>
    <row r="430" spans="1:16">
      <c r="A430" s="6"/>
      <c r="B430" s="7"/>
      <c r="C430" s="7"/>
      <c r="D430" s="8" t="str">
        <f t="shared" si="24"/>
        <v/>
      </c>
      <c r="E430" s="7"/>
      <c r="F430" s="7"/>
      <c r="G430" s="7"/>
      <c r="H430" s="7"/>
      <c r="I430" s="8" t="str">
        <f t="shared" si="25"/>
        <v/>
      </c>
      <c r="J430" s="8"/>
      <c r="K430" s="8"/>
      <c r="L430" s="8" t="str">
        <f>IF($A430="","",Settings!$B$3+SUMIFS($B$2:$B$495,$A$2:$A$495,"&lt;="&amp;$A430)-SUMIFS($J$2:$J$495,$A$2:$A$495,"&lt;="&amp;$A430)-SUMIFS('Weekly Purchases'!$N$2:$N$503,'Weekly Purchases'!$B$2:$B$503,"&lt;&gt;",'Weekly Purchases'!$B$2:$B$503,"&lt;="&amp;$A430)-SUMIFS('Weekly Purchases'!$N$2:$N$503,'Weekly Purchases'!$B$2:$B$503,"",'Weekly Purchases'!$A$2:$A$503,"&lt;="&amp;$A430))</f>
        <v/>
      </c>
      <c r="M430" s="8" t="str">
        <f>IF($A430="","",Settings!$B$4+SUMIFS($C$2:$C$495,$A$2:$A$495,"&lt;="&amp;$A430)-SUMIFS($K$2:$K$495,$A$2:$A$495,"&lt;="&amp;$A430)-SUMIFS('Weekly Purchases'!$O$2:$O$503,'Weekly Purchases'!$B$2:$B$503,"&lt;&gt;",'Weekly Purchases'!$B$2:$B$503,"&lt;="&amp;$A430)-SUMIFS('Weekly Purchases'!$O$2:$O$503,'Weekly Purchases'!$B$2:$B$503,"",'Weekly Purchases'!$A$2:$A$503,"&lt;="&amp;$A430))</f>
        <v/>
      </c>
      <c r="N430" s="8" t="str">
        <f t="shared" si="26"/>
        <v/>
      </c>
      <c r="O430" s="8" t="str">
        <f t="shared" si="27"/>
        <v/>
      </c>
      <c r="P430" s="4"/>
    </row>
    <row r="431" spans="1:16">
      <c r="A431" s="6"/>
      <c r="B431" s="7"/>
      <c r="C431" s="7"/>
      <c r="D431" s="8" t="str">
        <f t="shared" si="24"/>
        <v/>
      </c>
      <c r="E431" s="7"/>
      <c r="F431" s="7"/>
      <c r="G431" s="7"/>
      <c r="H431" s="7"/>
      <c r="I431" s="8" t="str">
        <f t="shared" si="25"/>
        <v/>
      </c>
      <c r="J431" s="8"/>
      <c r="K431" s="8"/>
      <c r="L431" s="8" t="str">
        <f>IF($A431="","",Settings!$B$3+SUMIFS($B$2:$B$495,$A$2:$A$495,"&lt;="&amp;$A431)-SUMIFS($J$2:$J$495,$A$2:$A$495,"&lt;="&amp;$A431)-SUMIFS('Weekly Purchases'!$N$2:$N$503,'Weekly Purchases'!$B$2:$B$503,"&lt;&gt;",'Weekly Purchases'!$B$2:$B$503,"&lt;="&amp;$A431)-SUMIFS('Weekly Purchases'!$N$2:$N$503,'Weekly Purchases'!$B$2:$B$503,"",'Weekly Purchases'!$A$2:$A$503,"&lt;="&amp;$A431))</f>
        <v/>
      </c>
      <c r="M431" s="8" t="str">
        <f>IF($A431="","",Settings!$B$4+SUMIFS($C$2:$C$495,$A$2:$A$495,"&lt;="&amp;$A431)-SUMIFS($K$2:$K$495,$A$2:$A$495,"&lt;="&amp;$A431)-SUMIFS('Weekly Purchases'!$O$2:$O$503,'Weekly Purchases'!$B$2:$B$503,"&lt;&gt;",'Weekly Purchases'!$B$2:$B$503,"&lt;="&amp;$A431)-SUMIFS('Weekly Purchases'!$O$2:$O$503,'Weekly Purchases'!$B$2:$B$503,"",'Weekly Purchases'!$A$2:$A$503,"&lt;="&amp;$A431))</f>
        <v/>
      </c>
      <c r="N431" s="8" t="str">
        <f t="shared" si="26"/>
        <v/>
      </c>
      <c r="O431" s="8" t="str">
        <f t="shared" si="27"/>
        <v/>
      </c>
      <c r="P431" s="4"/>
    </row>
    <row r="432" spans="1:16">
      <c r="A432" s="6"/>
      <c r="B432" s="7"/>
      <c r="C432" s="7"/>
      <c r="D432" s="8" t="str">
        <f t="shared" si="24"/>
        <v/>
      </c>
      <c r="E432" s="7"/>
      <c r="F432" s="7"/>
      <c r="G432" s="7"/>
      <c r="H432" s="7"/>
      <c r="I432" s="8" t="str">
        <f t="shared" si="25"/>
        <v/>
      </c>
      <c r="J432" s="8"/>
      <c r="K432" s="8"/>
      <c r="L432" s="8" t="str">
        <f>IF($A432="","",Settings!$B$3+SUMIFS($B$2:$B$495,$A$2:$A$495,"&lt;="&amp;$A432)-SUMIFS($J$2:$J$495,$A$2:$A$495,"&lt;="&amp;$A432)-SUMIFS('Weekly Purchases'!$N$2:$N$503,'Weekly Purchases'!$B$2:$B$503,"&lt;&gt;",'Weekly Purchases'!$B$2:$B$503,"&lt;="&amp;$A432)-SUMIFS('Weekly Purchases'!$N$2:$N$503,'Weekly Purchases'!$B$2:$B$503,"",'Weekly Purchases'!$A$2:$A$503,"&lt;="&amp;$A432))</f>
        <v/>
      </c>
      <c r="M432" s="8" t="str">
        <f>IF($A432="","",Settings!$B$4+SUMIFS($C$2:$C$495,$A$2:$A$495,"&lt;="&amp;$A432)-SUMIFS($K$2:$K$495,$A$2:$A$495,"&lt;="&amp;$A432)-SUMIFS('Weekly Purchases'!$O$2:$O$503,'Weekly Purchases'!$B$2:$B$503,"&lt;&gt;",'Weekly Purchases'!$B$2:$B$503,"&lt;="&amp;$A432)-SUMIFS('Weekly Purchases'!$O$2:$O$503,'Weekly Purchases'!$B$2:$B$503,"",'Weekly Purchases'!$A$2:$A$503,"&lt;="&amp;$A432))</f>
        <v/>
      </c>
      <c r="N432" s="8" t="str">
        <f t="shared" si="26"/>
        <v/>
      </c>
      <c r="O432" s="8" t="str">
        <f t="shared" si="27"/>
        <v/>
      </c>
      <c r="P432" s="4"/>
    </row>
    <row r="433" spans="1:16">
      <c r="A433" s="6"/>
      <c r="B433" s="7"/>
      <c r="C433" s="7"/>
      <c r="D433" s="8" t="str">
        <f t="shared" si="24"/>
        <v/>
      </c>
      <c r="E433" s="7"/>
      <c r="F433" s="7"/>
      <c r="G433" s="7"/>
      <c r="H433" s="7"/>
      <c r="I433" s="8" t="str">
        <f t="shared" si="25"/>
        <v/>
      </c>
      <c r="J433" s="8"/>
      <c r="K433" s="8"/>
      <c r="L433" s="8" t="str">
        <f>IF($A433="","",Settings!$B$3+SUMIFS($B$2:$B$495,$A$2:$A$495,"&lt;="&amp;$A433)-SUMIFS($J$2:$J$495,$A$2:$A$495,"&lt;="&amp;$A433)-SUMIFS('Weekly Purchases'!$N$2:$N$503,'Weekly Purchases'!$B$2:$B$503,"&lt;&gt;",'Weekly Purchases'!$B$2:$B$503,"&lt;="&amp;$A433)-SUMIFS('Weekly Purchases'!$N$2:$N$503,'Weekly Purchases'!$B$2:$B$503,"",'Weekly Purchases'!$A$2:$A$503,"&lt;="&amp;$A433))</f>
        <v/>
      </c>
      <c r="M433" s="8" t="str">
        <f>IF($A433="","",Settings!$B$4+SUMIFS($C$2:$C$495,$A$2:$A$495,"&lt;="&amp;$A433)-SUMIFS($K$2:$K$495,$A$2:$A$495,"&lt;="&amp;$A433)-SUMIFS('Weekly Purchases'!$O$2:$O$503,'Weekly Purchases'!$B$2:$B$503,"&lt;&gt;",'Weekly Purchases'!$B$2:$B$503,"&lt;="&amp;$A433)-SUMIFS('Weekly Purchases'!$O$2:$O$503,'Weekly Purchases'!$B$2:$B$503,"",'Weekly Purchases'!$A$2:$A$503,"&lt;="&amp;$A433))</f>
        <v/>
      </c>
      <c r="N433" s="8" t="str">
        <f t="shared" si="26"/>
        <v/>
      </c>
      <c r="O433" s="8" t="str">
        <f t="shared" si="27"/>
        <v/>
      </c>
      <c r="P433" s="4"/>
    </row>
    <row r="434" spans="1:16">
      <c r="A434" s="6"/>
      <c r="B434" s="7"/>
      <c r="C434" s="7"/>
      <c r="D434" s="8" t="str">
        <f t="shared" si="24"/>
        <v/>
      </c>
      <c r="E434" s="7"/>
      <c r="F434" s="7"/>
      <c r="G434" s="7"/>
      <c r="H434" s="7"/>
      <c r="I434" s="8" t="str">
        <f t="shared" si="25"/>
        <v/>
      </c>
      <c r="J434" s="8"/>
      <c r="K434" s="8"/>
      <c r="L434" s="8" t="str">
        <f>IF($A434="","",Settings!$B$3+SUMIFS($B$2:$B$495,$A$2:$A$495,"&lt;="&amp;$A434)-SUMIFS($J$2:$J$495,$A$2:$A$495,"&lt;="&amp;$A434)-SUMIFS('Weekly Purchases'!$N$2:$N$503,'Weekly Purchases'!$B$2:$B$503,"&lt;&gt;",'Weekly Purchases'!$B$2:$B$503,"&lt;="&amp;$A434)-SUMIFS('Weekly Purchases'!$N$2:$N$503,'Weekly Purchases'!$B$2:$B$503,"",'Weekly Purchases'!$A$2:$A$503,"&lt;="&amp;$A434))</f>
        <v/>
      </c>
      <c r="M434" s="8" t="str">
        <f>IF($A434="","",Settings!$B$4+SUMIFS($C$2:$C$495,$A$2:$A$495,"&lt;="&amp;$A434)-SUMIFS($K$2:$K$495,$A$2:$A$495,"&lt;="&amp;$A434)-SUMIFS('Weekly Purchases'!$O$2:$O$503,'Weekly Purchases'!$B$2:$B$503,"&lt;&gt;",'Weekly Purchases'!$B$2:$B$503,"&lt;="&amp;$A434)-SUMIFS('Weekly Purchases'!$O$2:$O$503,'Weekly Purchases'!$B$2:$B$503,"",'Weekly Purchases'!$A$2:$A$503,"&lt;="&amp;$A434))</f>
        <v/>
      </c>
      <c r="N434" s="8" t="str">
        <f t="shared" si="26"/>
        <v/>
      </c>
      <c r="O434" s="8" t="str">
        <f t="shared" si="27"/>
        <v/>
      </c>
      <c r="P434" s="4"/>
    </row>
    <row r="435" spans="1:16">
      <c r="A435" s="6"/>
      <c r="B435" s="7"/>
      <c r="C435" s="7"/>
      <c r="D435" s="8" t="str">
        <f t="shared" si="24"/>
        <v/>
      </c>
      <c r="E435" s="7"/>
      <c r="F435" s="7"/>
      <c r="G435" s="7"/>
      <c r="H435" s="7"/>
      <c r="I435" s="8" t="str">
        <f t="shared" si="25"/>
        <v/>
      </c>
      <c r="J435" s="8"/>
      <c r="K435" s="8"/>
      <c r="L435" s="8" t="str">
        <f>IF($A435="","",Settings!$B$3+SUMIFS($B$2:$B$495,$A$2:$A$495,"&lt;="&amp;$A435)-SUMIFS($J$2:$J$495,$A$2:$A$495,"&lt;="&amp;$A435)-SUMIFS('Weekly Purchases'!$N$2:$N$503,'Weekly Purchases'!$B$2:$B$503,"&lt;&gt;",'Weekly Purchases'!$B$2:$B$503,"&lt;="&amp;$A435)-SUMIFS('Weekly Purchases'!$N$2:$N$503,'Weekly Purchases'!$B$2:$B$503,"",'Weekly Purchases'!$A$2:$A$503,"&lt;="&amp;$A435))</f>
        <v/>
      </c>
      <c r="M435" s="8" t="str">
        <f>IF($A435="","",Settings!$B$4+SUMIFS($C$2:$C$495,$A$2:$A$495,"&lt;="&amp;$A435)-SUMIFS($K$2:$K$495,$A$2:$A$495,"&lt;="&amp;$A435)-SUMIFS('Weekly Purchases'!$O$2:$O$503,'Weekly Purchases'!$B$2:$B$503,"&lt;&gt;",'Weekly Purchases'!$B$2:$B$503,"&lt;="&amp;$A435)-SUMIFS('Weekly Purchases'!$O$2:$O$503,'Weekly Purchases'!$B$2:$B$503,"",'Weekly Purchases'!$A$2:$A$503,"&lt;="&amp;$A435))</f>
        <v/>
      </c>
      <c r="N435" s="8" t="str">
        <f t="shared" si="26"/>
        <v/>
      </c>
      <c r="O435" s="8" t="str">
        <f t="shared" si="27"/>
        <v/>
      </c>
      <c r="P435" s="4"/>
    </row>
    <row r="436" spans="1:16">
      <c r="A436" s="6"/>
      <c r="B436" s="7"/>
      <c r="C436" s="7"/>
      <c r="D436" s="8" t="str">
        <f t="shared" si="24"/>
        <v/>
      </c>
      <c r="E436" s="7"/>
      <c r="F436" s="7"/>
      <c r="G436" s="7"/>
      <c r="H436" s="7"/>
      <c r="I436" s="8" t="str">
        <f t="shared" si="25"/>
        <v/>
      </c>
      <c r="J436" s="8"/>
      <c r="K436" s="8"/>
      <c r="L436" s="8" t="str">
        <f>IF($A436="","",Settings!$B$3+SUMIFS($B$2:$B$495,$A$2:$A$495,"&lt;="&amp;$A436)-SUMIFS($J$2:$J$495,$A$2:$A$495,"&lt;="&amp;$A436)-SUMIFS('Weekly Purchases'!$N$2:$N$503,'Weekly Purchases'!$B$2:$B$503,"&lt;&gt;",'Weekly Purchases'!$B$2:$B$503,"&lt;="&amp;$A436)-SUMIFS('Weekly Purchases'!$N$2:$N$503,'Weekly Purchases'!$B$2:$B$503,"",'Weekly Purchases'!$A$2:$A$503,"&lt;="&amp;$A436))</f>
        <v/>
      </c>
      <c r="M436" s="8" t="str">
        <f>IF($A436="","",Settings!$B$4+SUMIFS($C$2:$C$495,$A$2:$A$495,"&lt;="&amp;$A436)-SUMIFS($K$2:$K$495,$A$2:$A$495,"&lt;="&amp;$A436)-SUMIFS('Weekly Purchases'!$O$2:$O$503,'Weekly Purchases'!$B$2:$B$503,"&lt;&gt;",'Weekly Purchases'!$B$2:$B$503,"&lt;="&amp;$A436)-SUMIFS('Weekly Purchases'!$O$2:$O$503,'Weekly Purchases'!$B$2:$B$503,"",'Weekly Purchases'!$A$2:$A$503,"&lt;="&amp;$A436))</f>
        <v/>
      </c>
      <c r="N436" s="8" t="str">
        <f t="shared" si="26"/>
        <v/>
      </c>
      <c r="O436" s="8" t="str">
        <f t="shared" si="27"/>
        <v/>
      </c>
      <c r="P436" s="4"/>
    </row>
    <row r="437" spans="1:16">
      <c r="A437" s="6"/>
      <c r="B437" s="7"/>
      <c r="C437" s="7"/>
      <c r="D437" s="8" t="str">
        <f t="shared" si="24"/>
        <v/>
      </c>
      <c r="E437" s="7"/>
      <c r="F437" s="7"/>
      <c r="G437" s="7"/>
      <c r="H437" s="7"/>
      <c r="I437" s="8" t="str">
        <f t="shared" si="25"/>
        <v/>
      </c>
      <c r="J437" s="8"/>
      <c r="K437" s="8"/>
      <c r="L437" s="8" t="str">
        <f>IF($A437="","",Settings!$B$3+SUMIFS($B$2:$B$495,$A$2:$A$495,"&lt;="&amp;$A437)-SUMIFS($J$2:$J$495,$A$2:$A$495,"&lt;="&amp;$A437)-SUMIFS('Weekly Purchases'!$N$2:$N$503,'Weekly Purchases'!$B$2:$B$503,"&lt;&gt;",'Weekly Purchases'!$B$2:$B$503,"&lt;="&amp;$A437)-SUMIFS('Weekly Purchases'!$N$2:$N$503,'Weekly Purchases'!$B$2:$B$503,"",'Weekly Purchases'!$A$2:$A$503,"&lt;="&amp;$A437))</f>
        <v/>
      </c>
      <c r="M437" s="8" t="str">
        <f>IF($A437="","",Settings!$B$4+SUMIFS($C$2:$C$495,$A$2:$A$495,"&lt;="&amp;$A437)-SUMIFS($K$2:$K$495,$A$2:$A$495,"&lt;="&amp;$A437)-SUMIFS('Weekly Purchases'!$O$2:$O$503,'Weekly Purchases'!$B$2:$B$503,"&lt;&gt;",'Weekly Purchases'!$B$2:$B$503,"&lt;="&amp;$A437)-SUMIFS('Weekly Purchases'!$O$2:$O$503,'Weekly Purchases'!$B$2:$B$503,"",'Weekly Purchases'!$A$2:$A$503,"&lt;="&amp;$A437))</f>
        <v/>
      </c>
      <c r="N437" s="8" t="str">
        <f t="shared" si="26"/>
        <v/>
      </c>
      <c r="O437" s="8" t="str">
        <f t="shared" si="27"/>
        <v/>
      </c>
      <c r="P437" s="4"/>
    </row>
    <row r="438" spans="1:16">
      <c r="A438" s="6"/>
      <c r="B438" s="7"/>
      <c r="C438" s="7"/>
      <c r="D438" s="8" t="str">
        <f t="shared" si="24"/>
        <v/>
      </c>
      <c r="E438" s="7"/>
      <c r="F438" s="7"/>
      <c r="G438" s="7"/>
      <c r="H438" s="7"/>
      <c r="I438" s="8" t="str">
        <f t="shared" si="25"/>
        <v/>
      </c>
      <c r="J438" s="8"/>
      <c r="K438" s="8"/>
      <c r="L438" s="8" t="str">
        <f>IF($A438="","",Settings!$B$3+SUMIFS($B$2:$B$495,$A$2:$A$495,"&lt;="&amp;$A438)-SUMIFS($J$2:$J$495,$A$2:$A$495,"&lt;="&amp;$A438)-SUMIFS('Weekly Purchases'!$N$2:$N$503,'Weekly Purchases'!$B$2:$B$503,"&lt;&gt;",'Weekly Purchases'!$B$2:$B$503,"&lt;="&amp;$A438)-SUMIFS('Weekly Purchases'!$N$2:$N$503,'Weekly Purchases'!$B$2:$B$503,"",'Weekly Purchases'!$A$2:$A$503,"&lt;="&amp;$A438))</f>
        <v/>
      </c>
      <c r="M438" s="8" t="str">
        <f>IF($A438="","",Settings!$B$4+SUMIFS($C$2:$C$495,$A$2:$A$495,"&lt;="&amp;$A438)-SUMIFS($K$2:$K$495,$A$2:$A$495,"&lt;="&amp;$A438)-SUMIFS('Weekly Purchases'!$O$2:$O$503,'Weekly Purchases'!$B$2:$B$503,"&lt;&gt;",'Weekly Purchases'!$B$2:$B$503,"&lt;="&amp;$A438)-SUMIFS('Weekly Purchases'!$O$2:$O$503,'Weekly Purchases'!$B$2:$B$503,"",'Weekly Purchases'!$A$2:$A$503,"&lt;="&amp;$A438))</f>
        <v/>
      </c>
      <c r="N438" s="8" t="str">
        <f t="shared" si="26"/>
        <v/>
      </c>
      <c r="O438" s="8" t="str">
        <f t="shared" si="27"/>
        <v/>
      </c>
      <c r="P438" s="4"/>
    </row>
    <row r="439" spans="1:16">
      <c r="A439" s="6"/>
      <c r="B439" s="7"/>
      <c r="C439" s="7"/>
      <c r="D439" s="8" t="str">
        <f t="shared" si="24"/>
        <v/>
      </c>
      <c r="E439" s="7"/>
      <c r="F439" s="7"/>
      <c r="G439" s="7"/>
      <c r="H439" s="7"/>
      <c r="I439" s="8" t="str">
        <f t="shared" si="25"/>
        <v/>
      </c>
      <c r="J439" s="8"/>
      <c r="K439" s="8"/>
      <c r="L439" s="8" t="str">
        <f>IF($A439="","",Settings!$B$3+SUMIFS($B$2:$B$495,$A$2:$A$495,"&lt;="&amp;$A439)-SUMIFS($J$2:$J$495,$A$2:$A$495,"&lt;="&amp;$A439)-SUMIFS('Weekly Purchases'!$N$2:$N$503,'Weekly Purchases'!$B$2:$B$503,"&lt;&gt;",'Weekly Purchases'!$B$2:$B$503,"&lt;="&amp;$A439)-SUMIFS('Weekly Purchases'!$N$2:$N$503,'Weekly Purchases'!$B$2:$B$503,"",'Weekly Purchases'!$A$2:$A$503,"&lt;="&amp;$A439))</f>
        <v/>
      </c>
      <c r="M439" s="8" t="str">
        <f>IF($A439="","",Settings!$B$4+SUMIFS($C$2:$C$495,$A$2:$A$495,"&lt;="&amp;$A439)-SUMIFS($K$2:$K$495,$A$2:$A$495,"&lt;="&amp;$A439)-SUMIFS('Weekly Purchases'!$O$2:$O$503,'Weekly Purchases'!$B$2:$B$503,"&lt;&gt;",'Weekly Purchases'!$B$2:$B$503,"&lt;="&amp;$A439)-SUMIFS('Weekly Purchases'!$O$2:$O$503,'Weekly Purchases'!$B$2:$B$503,"",'Weekly Purchases'!$A$2:$A$503,"&lt;="&amp;$A439))</f>
        <v/>
      </c>
      <c r="N439" s="8" t="str">
        <f t="shared" si="26"/>
        <v/>
      </c>
      <c r="O439" s="8" t="str">
        <f t="shared" si="27"/>
        <v/>
      </c>
      <c r="P439" s="4"/>
    </row>
    <row r="440" spans="1:16">
      <c r="A440" s="6"/>
      <c r="B440" s="7"/>
      <c r="C440" s="7"/>
      <c r="D440" s="8" t="str">
        <f t="shared" si="24"/>
        <v/>
      </c>
      <c r="E440" s="7"/>
      <c r="F440" s="7"/>
      <c r="G440" s="7"/>
      <c r="H440" s="7"/>
      <c r="I440" s="8" t="str">
        <f t="shared" si="25"/>
        <v/>
      </c>
      <c r="J440" s="8"/>
      <c r="K440" s="8"/>
      <c r="L440" s="8" t="str">
        <f>IF($A440="","",Settings!$B$3+SUMIFS($B$2:$B$495,$A$2:$A$495,"&lt;="&amp;$A440)-SUMIFS($J$2:$J$495,$A$2:$A$495,"&lt;="&amp;$A440)-SUMIFS('Weekly Purchases'!$N$2:$N$503,'Weekly Purchases'!$B$2:$B$503,"&lt;&gt;",'Weekly Purchases'!$B$2:$B$503,"&lt;="&amp;$A440)-SUMIFS('Weekly Purchases'!$N$2:$N$503,'Weekly Purchases'!$B$2:$B$503,"",'Weekly Purchases'!$A$2:$A$503,"&lt;="&amp;$A440))</f>
        <v/>
      </c>
      <c r="M440" s="8" t="str">
        <f>IF($A440="","",Settings!$B$4+SUMIFS($C$2:$C$495,$A$2:$A$495,"&lt;="&amp;$A440)-SUMIFS($K$2:$K$495,$A$2:$A$495,"&lt;="&amp;$A440)-SUMIFS('Weekly Purchases'!$O$2:$O$503,'Weekly Purchases'!$B$2:$B$503,"&lt;&gt;",'Weekly Purchases'!$B$2:$B$503,"&lt;="&amp;$A440)-SUMIFS('Weekly Purchases'!$O$2:$O$503,'Weekly Purchases'!$B$2:$B$503,"",'Weekly Purchases'!$A$2:$A$503,"&lt;="&amp;$A440))</f>
        <v/>
      </c>
      <c r="N440" s="8" t="str">
        <f t="shared" si="26"/>
        <v/>
      </c>
      <c r="O440" s="8" t="str">
        <f t="shared" si="27"/>
        <v/>
      </c>
      <c r="P440" s="4"/>
    </row>
    <row r="441" spans="1:16">
      <c r="A441" s="6"/>
      <c r="B441" s="7"/>
      <c r="C441" s="7"/>
      <c r="D441" s="8" t="str">
        <f t="shared" si="24"/>
        <v/>
      </c>
      <c r="E441" s="7"/>
      <c r="F441" s="7"/>
      <c r="G441" s="7"/>
      <c r="H441" s="7"/>
      <c r="I441" s="8" t="str">
        <f t="shared" si="25"/>
        <v/>
      </c>
      <c r="J441" s="8"/>
      <c r="K441" s="8"/>
      <c r="L441" s="8" t="str">
        <f>IF($A441="","",Settings!$B$3+SUMIFS($B$2:$B$495,$A$2:$A$495,"&lt;="&amp;$A441)-SUMIFS($J$2:$J$495,$A$2:$A$495,"&lt;="&amp;$A441)-SUMIFS('Weekly Purchases'!$N$2:$N$503,'Weekly Purchases'!$B$2:$B$503,"&lt;&gt;",'Weekly Purchases'!$B$2:$B$503,"&lt;="&amp;$A441)-SUMIFS('Weekly Purchases'!$N$2:$N$503,'Weekly Purchases'!$B$2:$B$503,"",'Weekly Purchases'!$A$2:$A$503,"&lt;="&amp;$A441))</f>
        <v/>
      </c>
      <c r="M441" s="8" t="str">
        <f>IF($A441="","",Settings!$B$4+SUMIFS($C$2:$C$495,$A$2:$A$495,"&lt;="&amp;$A441)-SUMIFS($K$2:$K$495,$A$2:$A$495,"&lt;="&amp;$A441)-SUMIFS('Weekly Purchases'!$O$2:$O$503,'Weekly Purchases'!$B$2:$B$503,"&lt;&gt;",'Weekly Purchases'!$B$2:$B$503,"&lt;="&amp;$A441)-SUMIFS('Weekly Purchases'!$O$2:$O$503,'Weekly Purchases'!$B$2:$B$503,"",'Weekly Purchases'!$A$2:$A$503,"&lt;="&amp;$A441))</f>
        <v/>
      </c>
      <c r="N441" s="8" t="str">
        <f t="shared" si="26"/>
        <v/>
      </c>
      <c r="O441" s="8" t="str">
        <f t="shared" si="27"/>
        <v/>
      </c>
      <c r="P441" s="4"/>
    </row>
    <row r="442" spans="1:16">
      <c r="A442" s="6"/>
      <c r="B442" s="7"/>
      <c r="C442" s="7"/>
      <c r="D442" s="8" t="str">
        <f t="shared" ref="D442:D495" si="28">IF($A442="","",SUM($B442:$C442))</f>
        <v/>
      </c>
      <c r="E442" s="7"/>
      <c r="F442" s="7"/>
      <c r="G442" s="7"/>
      <c r="H442" s="7"/>
      <c r="I442" s="8" t="str">
        <f t="shared" ref="I442:I495" si="29">IF($A442="","",SUM($E442:$H442))</f>
        <v/>
      </c>
      <c r="J442" s="8"/>
      <c r="K442" s="8"/>
      <c r="L442" s="8" t="str">
        <f>IF($A442="","",Settings!$B$3+SUMIFS($B$2:$B$495,$A$2:$A$495,"&lt;="&amp;$A442)-SUMIFS($J$2:$J$495,$A$2:$A$495,"&lt;="&amp;$A442)-SUMIFS('Weekly Purchases'!$N$2:$N$503,'Weekly Purchases'!$B$2:$B$503,"&lt;&gt;",'Weekly Purchases'!$B$2:$B$503,"&lt;="&amp;$A442)-SUMIFS('Weekly Purchases'!$N$2:$N$503,'Weekly Purchases'!$B$2:$B$503,"",'Weekly Purchases'!$A$2:$A$503,"&lt;="&amp;$A442))</f>
        <v/>
      </c>
      <c r="M442" s="8" t="str">
        <f>IF($A442="","",Settings!$B$4+SUMIFS($C$2:$C$495,$A$2:$A$495,"&lt;="&amp;$A442)-SUMIFS($K$2:$K$495,$A$2:$A$495,"&lt;="&amp;$A442)-SUMIFS('Weekly Purchases'!$O$2:$O$503,'Weekly Purchases'!$B$2:$B$503,"&lt;&gt;",'Weekly Purchases'!$B$2:$B$503,"&lt;="&amp;$A442)-SUMIFS('Weekly Purchases'!$O$2:$O$503,'Weekly Purchases'!$B$2:$B$503,"",'Weekly Purchases'!$A$2:$A$503,"&lt;="&amp;$A442))</f>
        <v/>
      </c>
      <c r="N442" s="8" t="str">
        <f t="shared" ref="N442:N505" si="30">IF($A442="","",L442+M442)</f>
        <v/>
      </c>
      <c r="O442" s="8" t="str">
        <f t="shared" ref="O442:O495" si="31">IF($A442="","",D442-I442)</f>
        <v/>
      </c>
      <c r="P442" s="4"/>
    </row>
    <row r="443" spans="1:16">
      <c r="A443" s="6"/>
      <c r="B443" s="7"/>
      <c r="C443" s="7"/>
      <c r="D443" s="8" t="str">
        <f t="shared" si="28"/>
        <v/>
      </c>
      <c r="E443" s="7"/>
      <c r="F443" s="7"/>
      <c r="G443" s="7"/>
      <c r="H443" s="7"/>
      <c r="I443" s="8" t="str">
        <f t="shared" si="29"/>
        <v/>
      </c>
      <c r="J443" s="8"/>
      <c r="K443" s="8"/>
      <c r="L443" s="8" t="str">
        <f>IF($A443="","",Settings!$B$3+SUMIFS($B$2:$B$495,$A$2:$A$495,"&lt;="&amp;$A443)-SUMIFS($J$2:$J$495,$A$2:$A$495,"&lt;="&amp;$A443)-SUMIFS('Weekly Purchases'!$N$2:$N$503,'Weekly Purchases'!$B$2:$B$503,"&lt;&gt;",'Weekly Purchases'!$B$2:$B$503,"&lt;="&amp;$A443)-SUMIFS('Weekly Purchases'!$N$2:$N$503,'Weekly Purchases'!$B$2:$B$503,"",'Weekly Purchases'!$A$2:$A$503,"&lt;="&amp;$A443))</f>
        <v/>
      </c>
      <c r="M443" s="8" t="str">
        <f>IF($A443="","",Settings!$B$4+SUMIFS($C$2:$C$495,$A$2:$A$495,"&lt;="&amp;$A443)-SUMIFS($K$2:$K$495,$A$2:$A$495,"&lt;="&amp;$A443)-SUMIFS('Weekly Purchases'!$O$2:$O$503,'Weekly Purchases'!$B$2:$B$503,"&lt;&gt;",'Weekly Purchases'!$B$2:$B$503,"&lt;="&amp;$A443)-SUMIFS('Weekly Purchases'!$O$2:$O$503,'Weekly Purchases'!$B$2:$B$503,"",'Weekly Purchases'!$A$2:$A$503,"&lt;="&amp;$A443))</f>
        <v/>
      </c>
      <c r="N443" s="8" t="str">
        <f t="shared" si="30"/>
        <v/>
      </c>
      <c r="O443" s="8" t="str">
        <f t="shared" si="31"/>
        <v/>
      </c>
      <c r="P443" s="4"/>
    </row>
    <row r="444" spans="1:16">
      <c r="A444" s="6"/>
      <c r="B444" s="7"/>
      <c r="C444" s="7"/>
      <c r="D444" s="8" t="str">
        <f t="shared" si="28"/>
        <v/>
      </c>
      <c r="E444" s="7"/>
      <c r="F444" s="7"/>
      <c r="G444" s="7"/>
      <c r="H444" s="7"/>
      <c r="I444" s="8" t="str">
        <f t="shared" si="29"/>
        <v/>
      </c>
      <c r="J444" s="8"/>
      <c r="K444" s="8"/>
      <c r="L444" s="8" t="str">
        <f>IF($A444="","",Settings!$B$3+SUMIFS($B$2:$B$495,$A$2:$A$495,"&lt;="&amp;$A444)-SUMIFS($J$2:$J$495,$A$2:$A$495,"&lt;="&amp;$A444)-SUMIFS('Weekly Purchases'!$N$2:$N$503,'Weekly Purchases'!$B$2:$B$503,"&lt;&gt;",'Weekly Purchases'!$B$2:$B$503,"&lt;="&amp;$A444)-SUMIFS('Weekly Purchases'!$N$2:$N$503,'Weekly Purchases'!$B$2:$B$503,"",'Weekly Purchases'!$A$2:$A$503,"&lt;="&amp;$A444))</f>
        <v/>
      </c>
      <c r="M444" s="8" t="str">
        <f>IF($A444="","",Settings!$B$4+SUMIFS($C$2:$C$495,$A$2:$A$495,"&lt;="&amp;$A444)-SUMIFS($K$2:$K$495,$A$2:$A$495,"&lt;="&amp;$A444)-SUMIFS('Weekly Purchases'!$O$2:$O$503,'Weekly Purchases'!$B$2:$B$503,"&lt;&gt;",'Weekly Purchases'!$B$2:$B$503,"&lt;="&amp;$A444)-SUMIFS('Weekly Purchases'!$O$2:$O$503,'Weekly Purchases'!$B$2:$B$503,"",'Weekly Purchases'!$A$2:$A$503,"&lt;="&amp;$A444))</f>
        <v/>
      </c>
      <c r="N444" s="8" t="str">
        <f t="shared" si="30"/>
        <v/>
      </c>
      <c r="O444" s="8" t="str">
        <f t="shared" si="31"/>
        <v/>
      </c>
      <c r="P444" s="4"/>
    </row>
    <row r="445" spans="1:16">
      <c r="A445" s="6"/>
      <c r="B445" s="7"/>
      <c r="C445" s="7"/>
      <c r="D445" s="8" t="str">
        <f t="shared" si="28"/>
        <v/>
      </c>
      <c r="E445" s="7"/>
      <c r="F445" s="7"/>
      <c r="G445" s="7"/>
      <c r="H445" s="7"/>
      <c r="I445" s="8" t="str">
        <f t="shared" si="29"/>
        <v/>
      </c>
      <c r="J445" s="8"/>
      <c r="K445" s="8"/>
      <c r="L445" s="8" t="str">
        <f>IF($A445="","",Settings!$B$3+SUMIFS($B$2:$B$495,$A$2:$A$495,"&lt;="&amp;$A445)-SUMIFS($J$2:$J$495,$A$2:$A$495,"&lt;="&amp;$A445)-SUMIFS('Weekly Purchases'!$N$2:$N$503,'Weekly Purchases'!$B$2:$B$503,"&lt;&gt;",'Weekly Purchases'!$B$2:$B$503,"&lt;="&amp;$A445)-SUMIFS('Weekly Purchases'!$N$2:$N$503,'Weekly Purchases'!$B$2:$B$503,"",'Weekly Purchases'!$A$2:$A$503,"&lt;="&amp;$A445))</f>
        <v/>
      </c>
      <c r="M445" s="8" t="str">
        <f>IF($A445="","",Settings!$B$4+SUMIFS($C$2:$C$495,$A$2:$A$495,"&lt;="&amp;$A445)-SUMIFS($K$2:$K$495,$A$2:$A$495,"&lt;="&amp;$A445)-SUMIFS('Weekly Purchases'!$O$2:$O$503,'Weekly Purchases'!$B$2:$B$503,"&lt;&gt;",'Weekly Purchases'!$B$2:$B$503,"&lt;="&amp;$A445)-SUMIFS('Weekly Purchases'!$O$2:$O$503,'Weekly Purchases'!$B$2:$B$503,"",'Weekly Purchases'!$A$2:$A$503,"&lt;="&amp;$A445))</f>
        <v/>
      </c>
      <c r="N445" s="8" t="str">
        <f t="shared" si="30"/>
        <v/>
      </c>
      <c r="O445" s="8" t="str">
        <f t="shared" si="31"/>
        <v/>
      </c>
      <c r="P445" s="4"/>
    </row>
    <row r="446" spans="1:16">
      <c r="A446" s="6"/>
      <c r="B446" s="7"/>
      <c r="C446" s="7"/>
      <c r="D446" s="8" t="str">
        <f t="shared" si="28"/>
        <v/>
      </c>
      <c r="E446" s="7"/>
      <c r="F446" s="7"/>
      <c r="G446" s="7"/>
      <c r="H446" s="7"/>
      <c r="I446" s="8" t="str">
        <f t="shared" si="29"/>
        <v/>
      </c>
      <c r="J446" s="8"/>
      <c r="K446" s="8"/>
      <c r="L446" s="8" t="str">
        <f>IF($A446="","",Settings!$B$3+SUMIFS($B$2:$B$495,$A$2:$A$495,"&lt;="&amp;$A446)-SUMIFS($J$2:$J$495,$A$2:$A$495,"&lt;="&amp;$A446)-SUMIFS('Weekly Purchases'!$N$2:$N$503,'Weekly Purchases'!$B$2:$B$503,"&lt;&gt;",'Weekly Purchases'!$B$2:$B$503,"&lt;="&amp;$A446)-SUMIFS('Weekly Purchases'!$N$2:$N$503,'Weekly Purchases'!$B$2:$B$503,"",'Weekly Purchases'!$A$2:$A$503,"&lt;="&amp;$A446))</f>
        <v/>
      </c>
      <c r="M446" s="8" t="str">
        <f>IF($A446="","",Settings!$B$4+SUMIFS($C$2:$C$495,$A$2:$A$495,"&lt;="&amp;$A446)-SUMIFS($K$2:$K$495,$A$2:$A$495,"&lt;="&amp;$A446)-SUMIFS('Weekly Purchases'!$O$2:$O$503,'Weekly Purchases'!$B$2:$B$503,"&lt;&gt;",'Weekly Purchases'!$B$2:$B$503,"&lt;="&amp;$A446)-SUMIFS('Weekly Purchases'!$O$2:$O$503,'Weekly Purchases'!$B$2:$B$503,"",'Weekly Purchases'!$A$2:$A$503,"&lt;="&amp;$A446))</f>
        <v/>
      </c>
      <c r="N446" s="8" t="str">
        <f t="shared" si="30"/>
        <v/>
      </c>
      <c r="O446" s="8" t="str">
        <f t="shared" si="31"/>
        <v/>
      </c>
      <c r="P446" s="4"/>
    </row>
    <row r="447" spans="1:16">
      <c r="A447" s="6"/>
      <c r="B447" s="7"/>
      <c r="C447" s="7"/>
      <c r="D447" s="8" t="str">
        <f t="shared" si="28"/>
        <v/>
      </c>
      <c r="E447" s="7"/>
      <c r="F447" s="7"/>
      <c r="G447" s="7"/>
      <c r="H447" s="7"/>
      <c r="I447" s="8" t="str">
        <f t="shared" si="29"/>
        <v/>
      </c>
      <c r="J447" s="8"/>
      <c r="K447" s="8"/>
      <c r="L447" s="8" t="str">
        <f>IF($A447="","",Settings!$B$3+SUMIFS($B$2:$B$495,$A$2:$A$495,"&lt;="&amp;$A447)-SUMIFS($J$2:$J$495,$A$2:$A$495,"&lt;="&amp;$A447)-SUMIFS('Weekly Purchases'!$N$2:$N$503,'Weekly Purchases'!$B$2:$B$503,"&lt;&gt;",'Weekly Purchases'!$B$2:$B$503,"&lt;="&amp;$A447)-SUMIFS('Weekly Purchases'!$N$2:$N$503,'Weekly Purchases'!$B$2:$B$503,"",'Weekly Purchases'!$A$2:$A$503,"&lt;="&amp;$A447))</f>
        <v/>
      </c>
      <c r="M447" s="8" t="str">
        <f>IF($A447="","",Settings!$B$4+SUMIFS($C$2:$C$495,$A$2:$A$495,"&lt;="&amp;$A447)-SUMIFS($K$2:$K$495,$A$2:$A$495,"&lt;="&amp;$A447)-SUMIFS('Weekly Purchases'!$O$2:$O$503,'Weekly Purchases'!$B$2:$B$503,"&lt;&gt;",'Weekly Purchases'!$B$2:$B$503,"&lt;="&amp;$A447)-SUMIFS('Weekly Purchases'!$O$2:$O$503,'Weekly Purchases'!$B$2:$B$503,"",'Weekly Purchases'!$A$2:$A$503,"&lt;="&amp;$A447))</f>
        <v/>
      </c>
      <c r="N447" s="8" t="str">
        <f t="shared" si="30"/>
        <v/>
      </c>
      <c r="O447" s="8" t="str">
        <f t="shared" si="31"/>
        <v/>
      </c>
      <c r="P447" s="4"/>
    </row>
    <row r="448" spans="1:16">
      <c r="A448" s="6"/>
      <c r="B448" s="7"/>
      <c r="C448" s="7"/>
      <c r="D448" s="8" t="str">
        <f t="shared" si="28"/>
        <v/>
      </c>
      <c r="E448" s="7"/>
      <c r="F448" s="7"/>
      <c r="G448" s="7"/>
      <c r="H448" s="7"/>
      <c r="I448" s="8" t="str">
        <f t="shared" si="29"/>
        <v/>
      </c>
      <c r="J448" s="8"/>
      <c r="K448" s="8"/>
      <c r="L448" s="8" t="str">
        <f>IF($A448="","",Settings!$B$3+SUMIFS($B$2:$B$495,$A$2:$A$495,"&lt;="&amp;$A448)-SUMIFS($J$2:$J$495,$A$2:$A$495,"&lt;="&amp;$A448)-SUMIFS('Weekly Purchases'!$N$2:$N$503,'Weekly Purchases'!$B$2:$B$503,"&lt;&gt;",'Weekly Purchases'!$B$2:$B$503,"&lt;="&amp;$A448)-SUMIFS('Weekly Purchases'!$N$2:$N$503,'Weekly Purchases'!$B$2:$B$503,"",'Weekly Purchases'!$A$2:$A$503,"&lt;="&amp;$A448))</f>
        <v/>
      </c>
      <c r="M448" s="8" t="str">
        <f>IF($A448="","",Settings!$B$4+SUMIFS($C$2:$C$495,$A$2:$A$495,"&lt;="&amp;$A448)-SUMIFS($K$2:$K$495,$A$2:$A$495,"&lt;="&amp;$A448)-SUMIFS('Weekly Purchases'!$O$2:$O$503,'Weekly Purchases'!$B$2:$B$503,"&lt;&gt;",'Weekly Purchases'!$B$2:$B$503,"&lt;="&amp;$A448)-SUMIFS('Weekly Purchases'!$O$2:$O$503,'Weekly Purchases'!$B$2:$B$503,"",'Weekly Purchases'!$A$2:$A$503,"&lt;="&amp;$A448))</f>
        <v/>
      </c>
      <c r="N448" s="8" t="str">
        <f t="shared" si="30"/>
        <v/>
      </c>
      <c r="O448" s="8" t="str">
        <f t="shared" si="31"/>
        <v/>
      </c>
      <c r="P448" s="4"/>
    </row>
    <row r="449" spans="1:16">
      <c r="A449" s="6"/>
      <c r="B449" s="7"/>
      <c r="C449" s="7"/>
      <c r="D449" s="8" t="str">
        <f t="shared" si="28"/>
        <v/>
      </c>
      <c r="E449" s="7"/>
      <c r="F449" s="7"/>
      <c r="G449" s="7"/>
      <c r="H449" s="7"/>
      <c r="I449" s="8" t="str">
        <f t="shared" si="29"/>
        <v/>
      </c>
      <c r="J449" s="8"/>
      <c r="K449" s="8"/>
      <c r="L449" s="8" t="str">
        <f>IF($A449="","",Settings!$B$3+SUMIFS($B$2:$B$495,$A$2:$A$495,"&lt;="&amp;$A449)-SUMIFS($J$2:$J$495,$A$2:$A$495,"&lt;="&amp;$A449)-SUMIFS('Weekly Purchases'!$N$2:$N$503,'Weekly Purchases'!$B$2:$B$503,"&lt;&gt;",'Weekly Purchases'!$B$2:$B$503,"&lt;="&amp;$A449)-SUMIFS('Weekly Purchases'!$N$2:$N$503,'Weekly Purchases'!$B$2:$B$503,"",'Weekly Purchases'!$A$2:$A$503,"&lt;="&amp;$A449))</f>
        <v/>
      </c>
      <c r="M449" s="8" t="str">
        <f>IF($A449="","",Settings!$B$4+SUMIFS($C$2:$C$495,$A$2:$A$495,"&lt;="&amp;$A449)-SUMIFS($K$2:$K$495,$A$2:$A$495,"&lt;="&amp;$A449)-SUMIFS('Weekly Purchases'!$O$2:$O$503,'Weekly Purchases'!$B$2:$B$503,"&lt;&gt;",'Weekly Purchases'!$B$2:$B$503,"&lt;="&amp;$A449)-SUMIFS('Weekly Purchases'!$O$2:$O$503,'Weekly Purchases'!$B$2:$B$503,"",'Weekly Purchases'!$A$2:$A$503,"&lt;="&amp;$A449))</f>
        <v/>
      </c>
      <c r="N449" s="8" t="str">
        <f t="shared" si="30"/>
        <v/>
      </c>
      <c r="O449" s="8" t="str">
        <f t="shared" si="31"/>
        <v/>
      </c>
      <c r="P449" s="4"/>
    </row>
    <row r="450" spans="1:16">
      <c r="A450" s="6"/>
      <c r="B450" s="7"/>
      <c r="C450" s="7"/>
      <c r="D450" s="8" t="str">
        <f t="shared" si="28"/>
        <v/>
      </c>
      <c r="E450" s="7"/>
      <c r="F450" s="7"/>
      <c r="G450" s="7"/>
      <c r="H450" s="7"/>
      <c r="I450" s="8" t="str">
        <f t="shared" si="29"/>
        <v/>
      </c>
      <c r="J450" s="8"/>
      <c r="K450" s="8"/>
      <c r="L450" s="8" t="str">
        <f>IF($A450="","",Settings!$B$3+SUMIFS($B$2:$B$495,$A$2:$A$495,"&lt;="&amp;$A450)-SUMIFS($J$2:$J$495,$A$2:$A$495,"&lt;="&amp;$A450)-SUMIFS('Weekly Purchases'!$N$2:$N$503,'Weekly Purchases'!$B$2:$B$503,"&lt;&gt;",'Weekly Purchases'!$B$2:$B$503,"&lt;="&amp;$A450)-SUMIFS('Weekly Purchases'!$N$2:$N$503,'Weekly Purchases'!$B$2:$B$503,"",'Weekly Purchases'!$A$2:$A$503,"&lt;="&amp;$A450))</f>
        <v/>
      </c>
      <c r="M450" s="8" t="str">
        <f>IF($A450="","",Settings!$B$4+SUMIFS($C$2:$C$495,$A$2:$A$495,"&lt;="&amp;$A450)-SUMIFS($K$2:$K$495,$A$2:$A$495,"&lt;="&amp;$A450)-SUMIFS('Weekly Purchases'!$O$2:$O$503,'Weekly Purchases'!$B$2:$B$503,"&lt;&gt;",'Weekly Purchases'!$B$2:$B$503,"&lt;="&amp;$A450)-SUMIFS('Weekly Purchases'!$O$2:$O$503,'Weekly Purchases'!$B$2:$B$503,"",'Weekly Purchases'!$A$2:$A$503,"&lt;="&amp;$A450))</f>
        <v/>
      </c>
      <c r="N450" s="8" t="str">
        <f t="shared" si="30"/>
        <v/>
      </c>
      <c r="O450" s="8" t="str">
        <f t="shared" si="31"/>
        <v/>
      </c>
      <c r="P450" s="4"/>
    </row>
    <row r="451" spans="1:16">
      <c r="A451" s="6"/>
      <c r="B451" s="7"/>
      <c r="C451" s="7"/>
      <c r="D451" s="8" t="str">
        <f t="shared" si="28"/>
        <v/>
      </c>
      <c r="E451" s="7"/>
      <c r="F451" s="7"/>
      <c r="G451" s="7"/>
      <c r="H451" s="7"/>
      <c r="I451" s="8" t="str">
        <f t="shared" si="29"/>
        <v/>
      </c>
      <c r="J451" s="8"/>
      <c r="K451" s="8"/>
      <c r="L451" s="8" t="str">
        <f>IF($A451="","",Settings!$B$3+SUMIFS($B$2:$B$495,$A$2:$A$495,"&lt;="&amp;$A451)-SUMIFS($J$2:$J$495,$A$2:$A$495,"&lt;="&amp;$A451)-SUMIFS('Weekly Purchases'!$N$2:$N$503,'Weekly Purchases'!$B$2:$B$503,"&lt;&gt;",'Weekly Purchases'!$B$2:$B$503,"&lt;="&amp;$A451)-SUMIFS('Weekly Purchases'!$N$2:$N$503,'Weekly Purchases'!$B$2:$B$503,"",'Weekly Purchases'!$A$2:$A$503,"&lt;="&amp;$A451))</f>
        <v/>
      </c>
      <c r="M451" s="8" t="str">
        <f>IF($A451="","",Settings!$B$4+SUMIFS($C$2:$C$495,$A$2:$A$495,"&lt;="&amp;$A451)-SUMIFS($K$2:$K$495,$A$2:$A$495,"&lt;="&amp;$A451)-SUMIFS('Weekly Purchases'!$O$2:$O$503,'Weekly Purchases'!$B$2:$B$503,"&lt;&gt;",'Weekly Purchases'!$B$2:$B$503,"&lt;="&amp;$A451)-SUMIFS('Weekly Purchases'!$O$2:$O$503,'Weekly Purchases'!$B$2:$B$503,"",'Weekly Purchases'!$A$2:$A$503,"&lt;="&amp;$A451))</f>
        <v/>
      </c>
      <c r="N451" s="8" t="str">
        <f t="shared" si="30"/>
        <v/>
      </c>
      <c r="O451" s="8" t="str">
        <f t="shared" si="31"/>
        <v/>
      </c>
      <c r="P451" s="4"/>
    </row>
    <row r="452" spans="1:16">
      <c r="A452" s="6"/>
      <c r="B452" s="7"/>
      <c r="C452" s="7"/>
      <c r="D452" s="8" t="str">
        <f t="shared" si="28"/>
        <v/>
      </c>
      <c r="E452" s="7"/>
      <c r="F452" s="7"/>
      <c r="G452" s="7"/>
      <c r="H452" s="7"/>
      <c r="I452" s="8" t="str">
        <f t="shared" si="29"/>
        <v/>
      </c>
      <c r="J452" s="8"/>
      <c r="K452" s="8"/>
      <c r="L452" s="8" t="str">
        <f>IF($A452="","",Settings!$B$3+SUMIFS($B$2:$B$495,$A$2:$A$495,"&lt;="&amp;$A452)-SUMIFS($J$2:$J$495,$A$2:$A$495,"&lt;="&amp;$A452)-SUMIFS('Weekly Purchases'!$N$2:$N$503,'Weekly Purchases'!$B$2:$B$503,"&lt;&gt;",'Weekly Purchases'!$B$2:$B$503,"&lt;="&amp;$A452)-SUMIFS('Weekly Purchases'!$N$2:$N$503,'Weekly Purchases'!$B$2:$B$503,"",'Weekly Purchases'!$A$2:$A$503,"&lt;="&amp;$A452))</f>
        <v/>
      </c>
      <c r="M452" s="8" t="str">
        <f>IF($A452="","",Settings!$B$4+SUMIFS($C$2:$C$495,$A$2:$A$495,"&lt;="&amp;$A452)-SUMIFS($K$2:$K$495,$A$2:$A$495,"&lt;="&amp;$A452)-SUMIFS('Weekly Purchases'!$O$2:$O$503,'Weekly Purchases'!$B$2:$B$503,"&lt;&gt;",'Weekly Purchases'!$B$2:$B$503,"&lt;="&amp;$A452)-SUMIFS('Weekly Purchases'!$O$2:$O$503,'Weekly Purchases'!$B$2:$B$503,"",'Weekly Purchases'!$A$2:$A$503,"&lt;="&amp;$A452))</f>
        <v/>
      </c>
      <c r="N452" s="8" t="str">
        <f t="shared" si="30"/>
        <v/>
      </c>
      <c r="O452" s="8" t="str">
        <f t="shared" si="31"/>
        <v/>
      </c>
      <c r="P452" s="4"/>
    </row>
    <row r="453" spans="1:16">
      <c r="A453" s="6"/>
      <c r="B453" s="7"/>
      <c r="C453" s="7"/>
      <c r="D453" s="8" t="str">
        <f t="shared" si="28"/>
        <v/>
      </c>
      <c r="E453" s="7"/>
      <c r="F453" s="7"/>
      <c r="G453" s="7"/>
      <c r="H453" s="7"/>
      <c r="I453" s="8" t="str">
        <f t="shared" si="29"/>
        <v/>
      </c>
      <c r="J453" s="8"/>
      <c r="K453" s="8"/>
      <c r="L453" s="8" t="str">
        <f>IF($A453="","",Settings!$B$3+SUMIFS($B$2:$B$495,$A$2:$A$495,"&lt;="&amp;$A453)-SUMIFS($J$2:$J$495,$A$2:$A$495,"&lt;="&amp;$A453)-SUMIFS('Weekly Purchases'!$N$2:$N$503,'Weekly Purchases'!$B$2:$B$503,"&lt;&gt;",'Weekly Purchases'!$B$2:$B$503,"&lt;="&amp;$A453)-SUMIFS('Weekly Purchases'!$N$2:$N$503,'Weekly Purchases'!$B$2:$B$503,"",'Weekly Purchases'!$A$2:$A$503,"&lt;="&amp;$A453))</f>
        <v/>
      </c>
      <c r="M453" s="8" t="str">
        <f>IF($A453="","",Settings!$B$4+SUMIFS($C$2:$C$495,$A$2:$A$495,"&lt;="&amp;$A453)-SUMIFS($K$2:$K$495,$A$2:$A$495,"&lt;="&amp;$A453)-SUMIFS('Weekly Purchases'!$O$2:$O$503,'Weekly Purchases'!$B$2:$B$503,"&lt;&gt;",'Weekly Purchases'!$B$2:$B$503,"&lt;="&amp;$A453)-SUMIFS('Weekly Purchases'!$O$2:$O$503,'Weekly Purchases'!$B$2:$B$503,"",'Weekly Purchases'!$A$2:$A$503,"&lt;="&amp;$A453))</f>
        <v/>
      </c>
      <c r="N453" s="8" t="str">
        <f t="shared" si="30"/>
        <v/>
      </c>
      <c r="O453" s="8" t="str">
        <f t="shared" si="31"/>
        <v/>
      </c>
      <c r="P453" s="4"/>
    </row>
    <row r="454" spans="1:16">
      <c r="A454" s="6"/>
      <c r="B454" s="7"/>
      <c r="C454" s="7"/>
      <c r="D454" s="8" t="str">
        <f t="shared" si="28"/>
        <v/>
      </c>
      <c r="E454" s="7"/>
      <c r="F454" s="7"/>
      <c r="G454" s="7"/>
      <c r="H454" s="7"/>
      <c r="I454" s="8" t="str">
        <f t="shared" si="29"/>
        <v/>
      </c>
      <c r="J454" s="8"/>
      <c r="K454" s="8"/>
      <c r="L454" s="8" t="str">
        <f>IF($A454="","",Settings!$B$3+SUMIFS($B$2:$B$495,$A$2:$A$495,"&lt;="&amp;$A454)-SUMIFS($J$2:$J$495,$A$2:$A$495,"&lt;="&amp;$A454)-SUMIFS('Weekly Purchases'!$N$2:$N$503,'Weekly Purchases'!$B$2:$B$503,"&lt;&gt;",'Weekly Purchases'!$B$2:$B$503,"&lt;="&amp;$A454)-SUMIFS('Weekly Purchases'!$N$2:$N$503,'Weekly Purchases'!$B$2:$B$503,"",'Weekly Purchases'!$A$2:$A$503,"&lt;="&amp;$A454))</f>
        <v/>
      </c>
      <c r="M454" s="8" t="str">
        <f>IF($A454="","",Settings!$B$4+SUMIFS($C$2:$C$495,$A$2:$A$495,"&lt;="&amp;$A454)-SUMIFS($K$2:$K$495,$A$2:$A$495,"&lt;="&amp;$A454)-SUMIFS('Weekly Purchases'!$O$2:$O$503,'Weekly Purchases'!$B$2:$B$503,"&lt;&gt;",'Weekly Purchases'!$B$2:$B$503,"&lt;="&amp;$A454)-SUMIFS('Weekly Purchases'!$O$2:$O$503,'Weekly Purchases'!$B$2:$B$503,"",'Weekly Purchases'!$A$2:$A$503,"&lt;="&amp;$A454))</f>
        <v/>
      </c>
      <c r="N454" s="8" t="str">
        <f t="shared" si="30"/>
        <v/>
      </c>
      <c r="O454" s="8" t="str">
        <f t="shared" si="31"/>
        <v/>
      </c>
      <c r="P454" s="4"/>
    </row>
    <row r="455" spans="1:16">
      <c r="A455" s="6"/>
      <c r="B455" s="7"/>
      <c r="C455" s="7"/>
      <c r="D455" s="8" t="str">
        <f t="shared" si="28"/>
        <v/>
      </c>
      <c r="E455" s="7"/>
      <c r="F455" s="7"/>
      <c r="G455" s="7"/>
      <c r="H455" s="7"/>
      <c r="I455" s="8" t="str">
        <f t="shared" si="29"/>
        <v/>
      </c>
      <c r="J455" s="8"/>
      <c r="K455" s="8"/>
      <c r="L455" s="8" t="str">
        <f>IF($A455="","",Settings!$B$3+SUMIFS($B$2:$B$495,$A$2:$A$495,"&lt;="&amp;$A455)-SUMIFS($J$2:$J$495,$A$2:$A$495,"&lt;="&amp;$A455)-SUMIFS('Weekly Purchases'!$N$2:$N$503,'Weekly Purchases'!$B$2:$B$503,"&lt;&gt;",'Weekly Purchases'!$B$2:$B$503,"&lt;="&amp;$A455)-SUMIFS('Weekly Purchases'!$N$2:$N$503,'Weekly Purchases'!$B$2:$B$503,"",'Weekly Purchases'!$A$2:$A$503,"&lt;="&amp;$A455))</f>
        <v/>
      </c>
      <c r="M455" s="8" t="str">
        <f>IF($A455="","",Settings!$B$4+SUMIFS($C$2:$C$495,$A$2:$A$495,"&lt;="&amp;$A455)-SUMIFS($K$2:$K$495,$A$2:$A$495,"&lt;="&amp;$A455)-SUMIFS('Weekly Purchases'!$O$2:$O$503,'Weekly Purchases'!$B$2:$B$503,"&lt;&gt;",'Weekly Purchases'!$B$2:$B$503,"&lt;="&amp;$A455)-SUMIFS('Weekly Purchases'!$O$2:$O$503,'Weekly Purchases'!$B$2:$B$503,"",'Weekly Purchases'!$A$2:$A$503,"&lt;="&amp;$A455))</f>
        <v/>
      </c>
      <c r="N455" s="8" t="str">
        <f t="shared" si="30"/>
        <v/>
      </c>
      <c r="O455" s="8" t="str">
        <f t="shared" si="31"/>
        <v/>
      </c>
      <c r="P455" s="4"/>
    </row>
    <row r="456" spans="1:16">
      <c r="A456" s="6"/>
      <c r="B456" s="7"/>
      <c r="C456" s="7"/>
      <c r="D456" s="8" t="str">
        <f t="shared" si="28"/>
        <v/>
      </c>
      <c r="E456" s="7"/>
      <c r="F456" s="7"/>
      <c r="G456" s="7"/>
      <c r="H456" s="7"/>
      <c r="I456" s="8" t="str">
        <f t="shared" si="29"/>
        <v/>
      </c>
      <c r="J456" s="8"/>
      <c r="K456" s="8"/>
      <c r="L456" s="8" t="str">
        <f>IF($A456="","",Settings!$B$3+SUMIFS($B$2:$B$495,$A$2:$A$495,"&lt;="&amp;$A456)-SUMIFS($J$2:$J$495,$A$2:$A$495,"&lt;="&amp;$A456)-SUMIFS('Weekly Purchases'!$N$2:$N$503,'Weekly Purchases'!$B$2:$B$503,"&lt;&gt;",'Weekly Purchases'!$B$2:$B$503,"&lt;="&amp;$A456)-SUMIFS('Weekly Purchases'!$N$2:$N$503,'Weekly Purchases'!$B$2:$B$503,"",'Weekly Purchases'!$A$2:$A$503,"&lt;="&amp;$A456))</f>
        <v/>
      </c>
      <c r="M456" s="8" t="str">
        <f>IF($A456="","",Settings!$B$4+SUMIFS($C$2:$C$495,$A$2:$A$495,"&lt;="&amp;$A456)-SUMIFS($K$2:$K$495,$A$2:$A$495,"&lt;="&amp;$A456)-SUMIFS('Weekly Purchases'!$O$2:$O$503,'Weekly Purchases'!$B$2:$B$503,"&lt;&gt;",'Weekly Purchases'!$B$2:$B$503,"&lt;="&amp;$A456)-SUMIFS('Weekly Purchases'!$O$2:$O$503,'Weekly Purchases'!$B$2:$B$503,"",'Weekly Purchases'!$A$2:$A$503,"&lt;="&amp;$A456))</f>
        <v/>
      </c>
      <c r="N456" s="8" t="str">
        <f t="shared" si="30"/>
        <v/>
      </c>
      <c r="O456" s="8" t="str">
        <f t="shared" si="31"/>
        <v/>
      </c>
      <c r="P456" s="4"/>
    </row>
    <row r="457" spans="1:16">
      <c r="A457" s="6"/>
      <c r="B457" s="7"/>
      <c r="C457" s="7"/>
      <c r="D457" s="8" t="str">
        <f t="shared" si="28"/>
        <v/>
      </c>
      <c r="E457" s="7"/>
      <c r="F457" s="7"/>
      <c r="G457" s="7"/>
      <c r="H457" s="7"/>
      <c r="I457" s="8" t="str">
        <f t="shared" si="29"/>
        <v/>
      </c>
      <c r="J457" s="8"/>
      <c r="K457" s="8"/>
      <c r="L457" s="8" t="str">
        <f>IF($A457="","",Settings!$B$3+SUMIFS($B$2:$B$495,$A$2:$A$495,"&lt;="&amp;$A457)-SUMIFS($J$2:$J$495,$A$2:$A$495,"&lt;="&amp;$A457)-SUMIFS('Weekly Purchases'!$N$2:$N$503,'Weekly Purchases'!$B$2:$B$503,"&lt;&gt;",'Weekly Purchases'!$B$2:$B$503,"&lt;="&amp;$A457)-SUMIFS('Weekly Purchases'!$N$2:$N$503,'Weekly Purchases'!$B$2:$B$503,"",'Weekly Purchases'!$A$2:$A$503,"&lt;="&amp;$A457))</f>
        <v/>
      </c>
      <c r="M457" s="8" t="str">
        <f>IF($A457="","",Settings!$B$4+SUMIFS($C$2:$C$495,$A$2:$A$495,"&lt;="&amp;$A457)-SUMIFS($K$2:$K$495,$A$2:$A$495,"&lt;="&amp;$A457)-SUMIFS('Weekly Purchases'!$O$2:$O$503,'Weekly Purchases'!$B$2:$B$503,"&lt;&gt;",'Weekly Purchases'!$B$2:$B$503,"&lt;="&amp;$A457)-SUMIFS('Weekly Purchases'!$O$2:$O$503,'Weekly Purchases'!$B$2:$B$503,"",'Weekly Purchases'!$A$2:$A$503,"&lt;="&amp;$A457))</f>
        <v/>
      </c>
      <c r="N457" s="8" t="str">
        <f t="shared" si="30"/>
        <v/>
      </c>
      <c r="O457" s="8" t="str">
        <f t="shared" si="31"/>
        <v/>
      </c>
      <c r="P457" s="4"/>
    </row>
    <row r="458" spans="1:16">
      <c r="A458" s="6"/>
      <c r="B458" s="7"/>
      <c r="C458" s="7"/>
      <c r="D458" s="8" t="str">
        <f t="shared" si="28"/>
        <v/>
      </c>
      <c r="E458" s="7"/>
      <c r="F458" s="7"/>
      <c r="G458" s="7"/>
      <c r="H458" s="7"/>
      <c r="I458" s="8" t="str">
        <f t="shared" si="29"/>
        <v/>
      </c>
      <c r="J458" s="8"/>
      <c r="K458" s="8"/>
      <c r="L458" s="8" t="str">
        <f>IF($A458="","",Settings!$B$3+SUMIFS($B$2:$B$495,$A$2:$A$495,"&lt;="&amp;$A458)-SUMIFS($J$2:$J$495,$A$2:$A$495,"&lt;="&amp;$A458)-SUMIFS('Weekly Purchases'!$N$2:$N$503,'Weekly Purchases'!$B$2:$B$503,"&lt;&gt;",'Weekly Purchases'!$B$2:$B$503,"&lt;="&amp;$A458)-SUMIFS('Weekly Purchases'!$N$2:$N$503,'Weekly Purchases'!$B$2:$B$503,"",'Weekly Purchases'!$A$2:$A$503,"&lt;="&amp;$A458))</f>
        <v/>
      </c>
      <c r="M458" s="8" t="str">
        <f>IF($A458="","",Settings!$B$4+SUMIFS($C$2:$C$495,$A$2:$A$495,"&lt;="&amp;$A458)-SUMIFS($K$2:$K$495,$A$2:$A$495,"&lt;="&amp;$A458)-SUMIFS('Weekly Purchases'!$O$2:$O$503,'Weekly Purchases'!$B$2:$B$503,"&lt;&gt;",'Weekly Purchases'!$B$2:$B$503,"&lt;="&amp;$A458)-SUMIFS('Weekly Purchases'!$O$2:$O$503,'Weekly Purchases'!$B$2:$B$503,"",'Weekly Purchases'!$A$2:$A$503,"&lt;="&amp;$A458))</f>
        <v/>
      </c>
      <c r="N458" s="8" t="str">
        <f t="shared" si="30"/>
        <v/>
      </c>
      <c r="O458" s="8" t="str">
        <f t="shared" si="31"/>
        <v/>
      </c>
      <c r="P458" s="4"/>
    </row>
    <row r="459" spans="1:16">
      <c r="A459" s="6"/>
      <c r="B459" s="7"/>
      <c r="C459" s="7"/>
      <c r="D459" s="8" t="str">
        <f t="shared" si="28"/>
        <v/>
      </c>
      <c r="E459" s="7"/>
      <c r="F459" s="7"/>
      <c r="G459" s="7"/>
      <c r="H459" s="7"/>
      <c r="I459" s="8" t="str">
        <f t="shared" si="29"/>
        <v/>
      </c>
      <c r="J459" s="8"/>
      <c r="K459" s="8"/>
      <c r="L459" s="8" t="str">
        <f>IF($A459="","",Settings!$B$3+SUMIFS($B$2:$B$495,$A$2:$A$495,"&lt;="&amp;$A459)-SUMIFS($J$2:$J$495,$A$2:$A$495,"&lt;="&amp;$A459)-SUMIFS('Weekly Purchases'!$N$2:$N$503,'Weekly Purchases'!$B$2:$B$503,"&lt;&gt;",'Weekly Purchases'!$B$2:$B$503,"&lt;="&amp;$A459)-SUMIFS('Weekly Purchases'!$N$2:$N$503,'Weekly Purchases'!$B$2:$B$503,"",'Weekly Purchases'!$A$2:$A$503,"&lt;="&amp;$A459))</f>
        <v/>
      </c>
      <c r="M459" s="8" t="str">
        <f>IF($A459="","",Settings!$B$4+SUMIFS($C$2:$C$495,$A$2:$A$495,"&lt;="&amp;$A459)-SUMIFS($K$2:$K$495,$A$2:$A$495,"&lt;="&amp;$A459)-SUMIFS('Weekly Purchases'!$O$2:$O$503,'Weekly Purchases'!$B$2:$B$503,"&lt;&gt;",'Weekly Purchases'!$B$2:$B$503,"&lt;="&amp;$A459)-SUMIFS('Weekly Purchases'!$O$2:$O$503,'Weekly Purchases'!$B$2:$B$503,"",'Weekly Purchases'!$A$2:$A$503,"&lt;="&amp;$A459))</f>
        <v/>
      </c>
      <c r="N459" s="8" t="str">
        <f t="shared" si="30"/>
        <v/>
      </c>
      <c r="O459" s="8" t="str">
        <f t="shared" si="31"/>
        <v/>
      </c>
      <c r="P459" s="4"/>
    </row>
    <row r="460" spans="1:16">
      <c r="A460" s="6"/>
      <c r="B460" s="7"/>
      <c r="C460" s="7"/>
      <c r="D460" s="8" t="str">
        <f t="shared" si="28"/>
        <v/>
      </c>
      <c r="E460" s="7"/>
      <c r="F460" s="7"/>
      <c r="G460" s="7"/>
      <c r="H460" s="7"/>
      <c r="I460" s="8" t="str">
        <f t="shared" si="29"/>
        <v/>
      </c>
      <c r="J460" s="8"/>
      <c r="K460" s="8"/>
      <c r="L460" s="8" t="str">
        <f>IF($A460="","",Settings!$B$3+SUMIFS($B$2:$B$495,$A$2:$A$495,"&lt;="&amp;$A460)-SUMIFS($J$2:$J$495,$A$2:$A$495,"&lt;="&amp;$A460)-SUMIFS('Weekly Purchases'!$N$2:$N$503,'Weekly Purchases'!$B$2:$B$503,"&lt;&gt;",'Weekly Purchases'!$B$2:$B$503,"&lt;="&amp;$A460)-SUMIFS('Weekly Purchases'!$N$2:$N$503,'Weekly Purchases'!$B$2:$B$503,"",'Weekly Purchases'!$A$2:$A$503,"&lt;="&amp;$A460))</f>
        <v/>
      </c>
      <c r="M460" s="8" t="str">
        <f>IF($A460="","",Settings!$B$4+SUMIFS($C$2:$C$495,$A$2:$A$495,"&lt;="&amp;$A460)-SUMIFS($K$2:$K$495,$A$2:$A$495,"&lt;="&amp;$A460)-SUMIFS('Weekly Purchases'!$O$2:$O$503,'Weekly Purchases'!$B$2:$B$503,"&lt;&gt;",'Weekly Purchases'!$B$2:$B$503,"&lt;="&amp;$A460)-SUMIFS('Weekly Purchases'!$O$2:$O$503,'Weekly Purchases'!$B$2:$B$503,"",'Weekly Purchases'!$A$2:$A$503,"&lt;="&amp;$A460))</f>
        <v/>
      </c>
      <c r="N460" s="8" t="str">
        <f t="shared" si="30"/>
        <v/>
      </c>
      <c r="O460" s="8" t="str">
        <f t="shared" si="31"/>
        <v/>
      </c>
      <c r="P460" s="4"/>
    </row>
    <row r="461" spans="1:16">
      <c r="A461" s="6"/>
      <c r="B461" s="7"/>
      <c r="C461" s="7"/>
      <c r="D461" s="8" t="str">
        <f t="shared" si="28"/>
        <v/>
      </c>
      <c r="E461" s="7"/>
      <c r="F461" s="7"/>
      <c r="G461" s="7"/>
      <c r="H461" s="7"/>
      <c r="I461" s="8" t="str">
        <f t="shared" si="29"/>
        <v/>
      </c>
      <c r="J461" s="8"/>
      <c r="K461" s="8"/>
      <c r="L461" s="8" t="str">
        <f>IF($A461="","",Settings!$B$3+SUMIFS($B$2:$B$495,$A$2:$A$495,"&lt;="&amp;$A461)-SUMIFS($J$2:$J$495,$A$2:$A$495,"&lt;="&amp;$A461)-SUMIFS('Weekly Purchases'!$N$2:$N$503,'Weekly Purchases'!$B$2:$B$503,"&lt;&gt;",'Weekly Purchases'!$B$2:$B$503,"&lt;="&amp;$A461)-SUMIFS('Weekly Purchases'!$N$2:$N$503,'Weekly Purchases'!$B$2:$B$503,"",'Weekly Purchases'!$A$2:$A$503,"&lt;="&amp;$A461))</f>
        <v/>
      </c>
      <c r="M461" s="8" t="str">
        <f>IF($A461="","",Settings!$B$4+SUMIFS($C$2:$C$495,$A$2:$A$495,"&lt;="&amp;$A461)-SUMIFS($K$2:$K$495,$A$2:$A$495,"&lt;="&amp;$A461)-SUMIFS('Weekly Purchases'!$O$2:$O$503,'Weekly Purchases'!$B$2:$B$503,"&lt;&gt;",'Weekly Purchases'!$B$2:$B$503,"&lt;="&amp;$A461)-SUMIFS('Weekly Purchases'!$O$2:$O$503,'Weekly Purchases'!$B$2:$B$503,"",'Weekly Purchases'!$A$2:$A$503,"&lt;="&amp;$A461))</f>
        <v/>
      </c>
      <c r="N461" s="8" t="str">
        <f t="shared" si="30"/>
        <v/>
      </c>
      <c r="O461" s="8" t="str">
        <f t="shared" si="31"/>
        <v/>
      </c>
      <c r="P461" s="4"/>
    </row>
    <row r="462" spans="1:16">
      <c r="A462" s="6"/>
      <c r="B462" s="7"/>
      <c r="C462" s="7"/>
      <c r="D462" s="8" t="str">
        <f t="shared" si="28"/>
        <v/>
      </c>
      <c r="E462" s="7"/>
      <c r="F462" s="7"/>
      <c r="G462" s="7"/>
      <c r="H462" s="7"/>
      <c r="I462" s="8" t="str">
        <f t="shared" si="29"/>
        <v/>
      </c>
      <c r="J462" s="8"/>
      <c r="K462" s="8"/>
      <c r="L462" s="8" t="str">
        <f>IF($A462="","",Settings!$B$3+SUMIFS($B$2:$B$495,$A$2:$A$495,"&lt;="&amp;$A462)-SUMIFS($J$2:$J$495,$A$2:$A$495,"&lt;="&amp;$A462)-SUMIFS('Weekly Purchases'!$N$2:$N$503,'Weekly Purchases'!$B$2:$B$503,"&lt;&gt;",'Weekly Purchases'!$B$2:$B$503,"&lt;="&amp;$A462)-SUMIFS('Weekly Purchases'!$N$2:$N$503,'Weekly Purchases'!$B$2:$B$503,"",'Weekly Purchases'!$A$2:$A$503,"&lt;="&amp;$A462))</f>
        <v/>
      </c>
      <c r="M462" s="8" t="str">
        <f>IF($A462="","",Settings!$B$4+SUMIFS($C$2:$C$495,$A$2:$A$495,"&lt;="&amp;$A462)-SUMIFS($K$2:$K$495,$A$2:$A$495,"&lt;="&amp;$A462)-SUMIFS('Weekly Purchases'!$O$2:$O$503,'Weekly Purchases'!$B$2:$B$503,"&lt;&gt;",'Weekly Purchases'!$B$2:$B$503,"&lt;="&amp;$A462)-SUMIFS('Weekly Purchases'!$O$2:$O$503,'Weekly Purchases'!$B$2:$B$503,"",'Weekly Purchases'!$A$2:$A$503,"&lt;="&amp;$A462))</f>
        <v/>
      </c>
      <c r="N462" s="8" t="str">
        <f t="shared" si="30"/>
        <v/>
      </c>
      <c r="O462" s="8" t="str">
        <f t="shared" si="31"/>
        <v/>
      </c>
      <c r="P462" s="4"/>
    </row>
    <row r="463" spans="1:16">
      <c r="A463" s="6"/>
      <c r="B463" s="7"/>
      <c r="C463" s="7"/>
      <c r="D463" s="8" t="str">
        <f t="shared" si="28"/>
        <v/>
      </c>
      <c r="E463" s="7"/>
      <c r="F463" s="7"/>
      <c r="G463" s="7"/>
      <c r="H463" s="7"/>
      <c r="I463" s="8" t="str">
        <f t="shared" si="29"/>
        <v/>
      </c>
      <c r="J463" s="8"/>
      <c r="K463" s="8"/>
      <c r="L463" s="8" t="str">
        <f>IF($A463="","",Settings!$B$3+SUMIFS($B$2:$B$495,$A$2:$A$495,"&lt;="&amp;$A463)-SUMIFS($J$2:$J$495,$A$2:$A$495,"&lt;="&amp;$A463)-SUMIFS('Weekly Purchases'!$N$2:$N$503,'Weekly Purchases'!$B$2:$B$503,"&lt;&gt;",'Weekly Purchases'!$B$2:$B$503,"&lt;="&amp;$A463)-SUMIFS('Weekly Purchases'!$N$2:$N$503,'Weekly Purchases'!$B$2:$B$503,"",'Weekly Purchases'!$A$2:$A$503,"&lt;="&amp;$A463))</f>
        <v/>
      </c>
      <c r="M463" s="8" t="str">
        <f>IF($A463="","",Settings!$B$4+SUMIFS($C$2:$C$495,$A$2:$A$495,"&lt;="&amp;$A463)-SUMIFS($K$2:$K$495,$A$2:$A$495,"&lt;="&amp;$A463)-SUMIFS('Weekly Purchases'!$O$2:$O$503,'Weekly Purchases'!$B$2:$B$503,"&lt;&gt;",'Weekly Purchases'!$B$2:$B$503,"&lt;="&amp;$A463)-SUMIFS('Weekly Purchases'!$O$2:$O$503,'Weekly Purchases'!$B$2:$B$503,"",'Weekly Purchases'!$A$2:$A$503,"&lt;="&amp;$A463))</f>
        <v/>
      </c>
      <c r="N463" s="8" t="str">
        <f t="shared" si="30"/>
        <v/>
      </c>
      <c r="O463" s="8" t="str">
        <f t="shared" si="31"/>
        <v/>
      </c>
      <c r="P463" s="4"/>
    </row>
    <row r="464" spans="1:16">
      <c r="A464" s="6"/>
      <c r="B464" s="7"/>
      <c r="C464" s="7"/>
      <c r="D464" s="8" t="str">
        <f t="shared" si="28"/>
        <v/>
      </c>
      <c r="E464" s="7"/>
      <c r="F464" s="7"/>
      <c r="G464" s="7"/>
      <c r="H464" s="7"/>
      <c r="I464" s="8" t="str">
        <f t="shared" si="29"/>
        <v/>
      </c>
      <c r="J464" s="8"/>
      <c r="K464" s="8"/>
      <c r="L464" s="8" t="str">
        <f>IF($A464="","",Settings!$B$3+SUMIFS($B$2:$B$495,$A$2:$A$495,"&lt;="&amp;$A464)-SUMIFS($J$2:$J$495,$A$2:$A$495,"&lt;="&amp;$A464)-SUMIFS('Weekly Purchases'!$N$2:$N$503,'Weekly Purchases'!$B$2:$B$503,"&lt;&gt;",'Weekly Purchases'!$B$2:$B$503,"&lt;="&amp;$A464)-SUMIFS('Weekly Purchases'!$N$2:$N$503,'Weekly Purchases'!$B$2:$B$503,"",'Weekly Purchases'!$A$2:$A$503,"&lt;="&amp;$A464))</f>
        <v/>
      </c>
      <c r="M464" s="8" t="str">
        <f>IF($A464="","",Settings!$B$4+SUMIFS($C$2:$C$495,$A$2:$A$495,"&lt;="&amp;$A464)-SUMIFS($K$2:$K$495,$A$2:$A$495,"&lt;="&amp;$A464)-SUMIFS('Weekly Purchases'!$O$2:$O$503,'Weekly Purchases'!$B$2:$B$503,"&lt;&gt;",'Weekly Purchases'!$B$2:$B$503,"&lt;="&amp;$A464)-SUMIFS('Weekly Purchases'!$O$2:$O$503,'Weekly Purchases'!$B$2:$B$503,"",'Weekly Purchases'!$A$2:$A$503,"&lt;="&amp;$A464))</f>
        <v/>
      </c>
      <c r="N464" s="8" t="str">
        <f t="shared" si="30"/>
        <v/>
      </c>
      <c r="O464" s="8" t="str">
        <f t="shared" si="31"/>
        <v/>
      </c>
      <c r="P464" s="4"/>
    </row>
    <row r="465" spans="1:16">
      <c r="A465" s="6"/>
      <c r="B465" s="7"/>
      <c r="C465" s="7"/>
      <c r="D465" s="8" t="str">
        <f t="shared" si="28"/>
        <v/>
      </c>
      <c r="E465" s="7"/>
      <c r="F465" s="7"/>
      <c r="G465" s="7"/>
      <c r="H465" s="7"/>
      <c r="I465" s="8" t="str">
        <f t="shared" si="29"/>
        <v/>
      </c>
      <c r="J465" s="8"/>
      <c r="K465" s="8"/>
      <c r="L465" s="8" t="str">
        <f>IF($A465="","",Settings!$B$3+SUMIFS($B$2:$B$495,$A$2:$A$495,"&lt;="&amp;$A465)-SUMIFS($J$2:$J$495,$A$2:$A$495,"&lt;="&amp;$A465)-SUMIFS('Weekly Purchases'!$N$2:$N$503,'Weekly Purchases'!$B$2:$B$503,"&lt;&gt;",'Weekly Purchases'!$B$2:$B$503,"&lt;="&amp;$A465)-SUMIFS('Weekly Purchases'!$N$2:$N$503,'Weekly Purchases'!$B$2:$B$503,"",'Weekly Purchases'!$A$2:$A$503,"&lt;="&amp;$A465))</f>
        <v/>
      </c>
      <c r="M465" s="8" t="str">
        <f>IF($A465="","",Settings!$B$4+SUMIFS($C$2:$C$495,$A$2:$A$495,"&lt;="&amp;$A465)-SUMIFS($K$2:$K$495,$A$2:$A$495,"&lt;="&amp;$A465)-SUMIFS('Weekly Purchases'!$O$2:$O$503,'Weekly Purchases'!$B$2:$B$503,"&lt;&gt;",'Weekly Purchases'!$B$2:$B$503,"&lt;="&amp;$A465)-SUMIFS('Weekly Purchases'!$O$2:$O$503,'Weekly Purchases'!$B$2:$B$503,"",'Weekly Purchases'!$A$2:$A$503,"&lt;="&amp;$A465))</f>
        <v/>
      </c>
      <c r="N465" s="8" t="str">
        <f t="shared" si="30"/>
        <v/>
      </c>
      <c r="O465" s="8" t="str">
        <f t="shared" si="31"/>
        <v/>
      </c>
      <c r="P465" s="4"/>
    </row>
    <row r="466" spans="1:16">
      <c r="A466" s="6"/>
      <c r="B466" s="7"/>
      <c r="C466" s="7"/>
      <c r="D466" s="8" t="str">
        <f t="shared" si="28"/>
        <v/>
      </c>
      <c r="E466" s="7"/>
      <c r="F466" s="7"/>
      <c r="G466" s="7"/>
      <c r="H466" s="7"/>
      <c r="I466" s="8" t="str">
        <f t="shared" si="29"/>
        <v/>
      </c>
      <c r="J466" s="8"/>
      <c r="K466" s="8"/>
      <c r="L466" s="8" t="str">
        <f>IF($A466="","",Settings!$B$3+SUMIFS($B$2:$B$495,$A$2:$A$495,"&lt;="&amp;$A466)-SUMIFS($J$2:$J$495,$A$2:$A$495,"&lt;="&amp;$A466)-SUMIFS('Weekly Purchases'!$N$2:$N$503,'Weekly Purchases'!$B$2:$B$503,"&lt;&gt;",'Weekly Purchases'!$B$2:$B$503,"&lt;="&amp;$A466)-SUMIFS('Weekly Purchases'!$N$2:$N$503,'Weekly Purchases'!$B$2:$B$503,"",'Weekly Purchases'!$A$2:$A$503,"&lt;="&amp;$A466))</f>
        <v/>
      </c>
      <c r="M466" s="8" t="str">
        <f>IF($A466="","",Settings!$B$4+SUMIFS($C$2:$C$495,$A$2:$A$495,"&lt;="&amp;$A466)-SUMIFS($K$2:$K$495,$A$2:$A$495,"&lt;="&amp;$A466)-SUMIFS('Weekly Purchases'!$O$2:$O$503,'Weekly Purchases'!$B$2:$B$503,"&lt;&gt;",'Weekly Purchases'!$B$2:$B$503,"&lt;="&amp;$A466)-SUMIFS('Weekly Purchases'!$O$2:$O$503,'Weekly Purchases'!$B$2:$B$503,"",'Weekly Purchases'!$A$2:$A$503,"&lt;="&amp;$A466))</f>
        <v/>
      </c>
      <c r="N466" s="8" t="str">
        <f t="shared" si="30"/>
        <v/>
      </c>
      <c r="O466" s="8" t="str">
        <f t="shared" si="31"/>
        <v/>
      </c>
      <c r="P466" s="4"/>
    </row>
    <row r="467" spans="1:16">
      <c r="A467" s="6"/>
      <c r="B467" s="7"/>
      <c r="C467" s="7"/>
      <c r="D467" s="8" t="str">
        <f t="shared" si="28"/>
        <v/>
      </c>
      <c r="E467" s="7"/>
      <c r="F467" s="7"/>
      <c r="G467" s="7"/>
      <c r="H467" s="7"/>
      <c r="I467" s="8" t="str">
        <f t="shared" si="29"/>
        <v/>
      </c>
      <c r="J467" s="8"/>
      <c r="K467" s="8"/>
      <c r="L467" s="8" t="str">
        <f>IF($A467="","",Settings!$B$3+SUMIFS($B$2:$B$495,$A$2:$A$495,"&lt;="&amp;$A467)-SUMIFS($J$2:$J$495,$A$2:$A$495,"&lt;="&amp;$A467)-SUMIFS('Weekly Purchases'!$N$2:$N$503,'Weekly Purchases'!$B$2:$B$503,"&lt;&gt;",'Weekly Purchases'!$B$2:$B$503,"&lt;="&amp;$A467)-SUMIFS('Weekly Purchases'!$N$2:$N$503,'Weekly Purchases'!$B$2:$B$503,"",'Weekly Purchases'!$A$2:$A$503,"&lt;="&amp;$A467))</f>
        <v/>
      </c>
      <c r="M467" s="8" t="str">
        <f>IF($A467="","",Settings!$B$4+SUMIFS($C$2:$C$495,$A$2:$A$495,"&lt;="&amp;$A467)-SUMIFS($K$2:$K$495,$A$2:$A$495,"&lt;="&amp;$A467)-SUMIFS('Weekly Purchases'!$O$2:$O$503,'Weekly Purchases'!$B$2:$B$503,"&lt;&gt;",'Weekly Purchases'!$B$2:$B$503,"&lt;="&amp;$A467)-SUMIFS('Weekly Purchases'!$O$2:$O$503,'Weekly Purchases'!$B$2:$B$503,"",'Weekly Purchases'!$A$2:$A$503,"&lt;="&amp;$A467))</f>
        <v/>
      </c>
      <c r="N467" s="8" t="str">
        <f t="shared" si="30"/>
        <v/>
      </c>
      <c r="O467" s="8" t="str">
        <f t="shared" si="31"/>
        <v/>
      </c>
      <c r="P467" s="4"/>
    </row>
    <row r="468" spans="1:16">
      <c r="A468" s="6"/>
      <c r="B468" s="7"/>
      <c r="C468" s="7"/>
      <c r="D468" s="8" t="str">
        <f t="shared" si="28"/>
        <v/>
      </c>
      <c r="E468" s="7"/>
      <c r="F468" s="7"/>
      <c r="G468" s="7"/>
      <c r="H468" s="7"/>
      <c r="I468" s="8" t="str">
        <f t="shared" si="29"/>
        <v/>
      </c>
      <c r="J468" s="8"/>
      <c r="K468" s="8"/>
      <c r="L468" s="8" t="str">
        <f>IF($A468="","",Settings!$B$3+SUMIFS($B$2:$B$495,$A$2:$A$495,"&lt;="&amp;$A468)-SUMIFS($J$2:$J$495,$A$2:$A$495,"&lt;="&amp;$A468)-SUMIFS('Weekly Purchases'!$N$2:$N$503,'Weekly Purchases'!$B$2:$B$503,"&lt;&gt;",'Weekly Purchases'!$B$2:$B$503,"&lt;="&amp;$A468)-SUMIFS('Weekly Purchases'!$N$2:$N$503,'Weekly Purchases'!$B$2:$B$503,"",'Weekly Purchases'!$A$2:$A$503,"&lt;="&amp;$A468))</f>
        <v/>
      </c>
      <c r="M468" s="8" t="str">
        <f>IF($A468="","",Settings!$B$4+SUMIFS($C$2:$C$495,$A$2:$A$495,"&lt;="&amp;$A468)-SUMIFS($K$2:$K$495,$A$2:$A$495,"&lt;="&amp;$A468)-SUMIFS('Weekly Purchases'!$O$2:$O$503,'Weekly Purchases'!$B$2:$B$503,"&lt;&gt;",'Weekly Purchases'!$B$2:$B$503,"&lt;="&amp;$A468)-SUMIFS('Weekly Purchases'!$O$2:$O$503,'Weekly Purchases'!$B$2:$B$503,"",'Weekly Purchases'!$A$2:$A$503,"&lt;="&amp;$A468))</f>
        <v/>
      </c>
      <c r="N468" s="8" t="str">
        <f t="shared" si="30"/>
        <v/>
      </c>
      <c r="O468" s="8" t="str">
        <f t="shared" si="31"/>
        <v/>
      </c>
      <c r="P468" s="4"/>
    </row>
    <row r="469" spans="1:16">
      <c r="A469" s="6"/>
      <c r="B469" s="7"/>
      <c r="C469" s="7"/>
      <c r="D469" s="8" t="str">
        <f t="shared" si="28"/>
        <v/>
      </c>
      <c r="E469" s="7"/>
      <c r="F469" s="7"/>
      <c r="G469" s="7"/>
      <c r="H469" s="7"/>
      <c r="I469" s="8" t="str">
        <f t="shared" si="29"/>
        <v/>
      </c>
      <c r="J469" s="8"/>
      <c r="K469" s="8"/>
      <c r="L469" s="8" t="str">
        <f>IF($A469="","",Settings!$B$3+SUMIFS($B$2:$B$495,$A$2:$A$495,"&lt;="&amp;$A469)-SUMIFS($J$2:$J$495,$A$2:$A$495,"&lt;="&amp;$A469)-SUMIFS('Weekly Purchases'!$N$2:$N$503,'Weekly Purchases'!$B$2:$B$503,"&lt;&gt;",'Weekly Purchases'!$B$2:$B$503,"&lt;="&amp;$A469)-SUMIFS('Weekly Purchases'!$N$2:$N$503,'Weekly Purchases'!$B$2:$B$503,"",'Weekly Purchases'!$A$2:$A$503,"&lt;="&amp;$A469))</f>
        <v/>
      </c>
      <c r="M469" s="8" t="str">
        <f>IF($A469="","",Settings!$B$4+SUMIFS($C$2:$C$495,$A$2:$A$495,"&lt;="&amp;$A469)-SUMIFS($K$2:$K$495,$A$2:$A$495,"&lt;="&amp;$A469)-SUMIFS('Weekly Purchases'!$O$2:$O$503,'Weekly Purchases'!$B$2:$B$503,"&lt;&gt;",'Weekly Purchases'!$B$2:$B$503,"&lt;="&amp;$A469)-SUMIFS('Weekly Purchases'!$O$2:$O$503,'Weekly Purchases'!$B$2:$B$503,"",'Weekly Purchases'!$A$2:$A$503,"&lt;="&amp;$A469))</f>
        <v/>
      </c>
      <c r="N469" s="8" t="str">
        <f t="shared" si="30"/>
        <v/>
      </c>
      <c r="O469" s="8" t="str">
        <f t="shared" si="31"/>
        <v/>
      </c>
      <c r="P469" s="4"/>
    </row>
    <row r="470" spans="1:16">
      <c r="A470" s="6"/>
      <c r="B470" s="7"/>
      <c r="C470" s="7"/>
      <c r="D470" s="8" t="str">
        <f t="shared" si="28"/>
        <v/>
      </c>
      <c r="E470" s="7"/>
      <c r="F470" s="7"/>
      <c r="G470" s="7"/>
      <c r="H470" s="7"/>
      <c r="I470" s="8" t="str">
        <f t="shared" si="29"/>
        <v/>
      </c>
      <c r="J470" s="8"/>
      <c r="K470" s="8"/>
      <c r="L470" s="8" t="str">
        <f>IF($A470="","",Settings!$B$3+SUMIFS($B$2:$B$495,$A$2:$A$495,"&lt;="&amp;$A470)-SUMIFS($J$2:$J$495,$A$2:$A$495,"&lt;="&amp;$A470)-SUMIFS('Weekly Purchases'!$N$2:$N$503,'Weekly Purchases'!$B$2:$B$503,"&lt;&gt;",'Weekly Purchases'!$B$2:$B$503,"&lt;="&amp;$A470)-SUMIFS('Weekly Purchases'!$N$2:$N$503,'Weekly Purchases'!$B$2:$B$503,"",'Weekly Purchases'!$A$2:$A$503,"&lt;="&amp;$A470))</f>
        <v/>
      </c>
      <c r="M470" s="8" t="str">
        <f>IF($A470="","",Settings!$B$4+SUMIFS($C$2:$C$495,$A$2:$A$495,"&lt;="&amp;$A470)-SUMIFS($K$2:$K$495,$A$2:$A$495,"&lt;="&amp;$A470)-SUMIFS('Weekly Purchases'!$O$2:$O$503,'Weekly Purchases'!$B$2:$B$503,"&lt;&gt;",'Weekly Purchases'!$B$2:$B$503,"&lt;="&amp;$A470)-SUMIFS('Weekly Purchases'!$O$2:$O$503,'Weekly Purchases'!$B$2:$B$503,"",'Weekly Purchases'!$A$2:$A$503,"&lt;="&amp;$A470))</f>
        <v/>
      </c>
      <c r="N470" s="8" t="str">
        <f t="shared" si="30"/>
        <v/>
      </c>
      <c r="O470" s="8" t="str">
        <f t="shared" si="31"/>
        <v/>
      </c>
      <c r="P470" s="4"/>
    </row>
    <row r="471" spans="1:16">
      <c r="A471" s="6"/>
      <c r="B471" s="7"/>
      <c r="C471" s="7"/>
      <c r="D471" s="8" t="str">
        <f t="shared" si="28"/>
        <v/>
      </c>
      <c r="E471" s="7"/>
      <c r="F471" s="7"/>
      <c r="G471" s="7"/>
      <c r="H471" s="7"/>
      <c r="I471" s="8" t="str">
        <f t="shared" si="29"/>
        <v/>
      </c>
      <c r="J471" s="8"/>
      <c r="K471" s="8"/>
      <c r="L471" s="8" t="str">
        <f>IF($A471="","",Settings!$B$3+SUMIFS($B$2:$B$495,$A$2:$A$495,"&lt;="&amp;$A471)-SUMIFS($J$2:$J$495,$A$2:$A$495,"&lt;="&amp;$A471)-SUMIFS('Weekly Purchases'!$N$2:$N$503,'Weekly Purchases'!$B$2:$B$503,"&lt;&gt;",'Weekly Purchases'!$B$2:$B$503,"&lt;="&amp;$A471)-SUMIFS('Weekly Purchases'!$N$2:$N$503,'Weekly Purchases'!$B$2:$B$503,"",'Weekly Purchases'!$A$2:$A$503,"&lt;="&amp;$A471))</f>
        <v/>
      </c>
      <c r="M471" s="8" t="str">
        <f>IF($A471="","",Settings!$B$4+SUMIFS($C$2:$C$495,$A$2:$A$495,"&lt;="&amp;$A471)-SUMIFS($K$2:$K$495,$A$2:$A$495,"&lt;="&amp;$A471)-SUMIFS('Weekly Purchases'!$O$2:$O$503,'Weekly Purchases'!$B$2:$B$503,"&lt;&gt;",'Weekly Purchases'!$B$2:$B$503,"&lt;="&amp;$A471)-SUMIFS('Weekly Purchases'!$O$2:$O$503,'Weekly Purchases'!$B$2:$B$503,"",'Weekly Purchases'!$A$2:$A$503,"&lt;="&amp;$A471))</f>
        <v/>
      </c>
      <c r="N471" s="8" t="str">
        <f t="shared" si="30"/>
        <v/>
      </c>
      <c r="O471" s="8" t="str">
        <f t="shared" si="31"/>
        <v/>
      </c>
      <c r="P471" s="4"/>
    </row>
    <row r="472" spans="1:16">
      <c r="A472" s="6"/>
      <c r="B472" s="7"/>
      <c r="C472" s="7"/>
      <c r="D472" s="8" t="str">
        <f t="shared" si="28"/>
        <v/>
      </c>
      <c r="E472" s="7"/>
      <c r="F472" s="7"/>
      <c r="G472" s="7"/>
      <c r="H472" s="7"/>
      <c r="I472" s="8" t="str">
        <f t="shared" si="29"/>
        <v/>
      </c>
      <c r="J472" s="8"/>
      <c r="K472" s="8"/>
      <c r="L472" s="8" t="str">
        <f>IF($A472="","",Settings!$B$3+SUMIFS($B$2:$B$495,$A$2:$A$495,"&lt;="&amp;$A472)-SUMIFS($J$2:$J$495,$A$2:$A$495,"&lt;="&amp;$A472)-SUMIFS('Weekly Purchases'!$N$2:$N$503,'Weekly Purchases'!$B$2:$B$503,"&lt;&gt;",'Weekly Purchases'!$B$2:$B$503,"&lt;="&amp;$A472)-SUMIFS('Weekly Purchases'!$N$2:$N$503,'Weekly Purchases'!$B$2:$B$503,"",'Weekly Purchases'!$A$2:$A$503,"&lt;="&amp;$A472))</f>
        <v/>
      </c>
      <c r="M472" s="8" t="str">
        <f>IF($A472="","",Settings!$B$4+SUMIFS($C$2:$C$495,$A$2:$A$495,"&lt;="&amp;$A472)-SUMIFS($K$2:$K$495,$A$2:$A$495,"&lt;="&amp;$A472)-SUMIFS('Weekly Purchases'!$O$2:$O$503,'Weekly Purchases'!$B$2:$B$503,"&lt;&gt;",'Weekly Purchases'!$B$2:$B$503,"&lt;="&amp;$A472)-SUMIFS('Weekly Purchases'!$O$2:$O$503,'Weekly Purchases'!$B$2:$B$503,"",'Weekly Purchases'!$A$2:$A$503,"&lt;="&amp;$A472))</f>
        <v/>
      </c>
      <c r="N472" s="8" t="str">
        <f t="shared" si="30"/>
        <v/>
      </c>
      <c r="O472" s="8" t="str">
        <f t="shared" si="31"/>
        <v/>
      </c>
      <c r="P472" s="4"/>
    </row>
    <row r="473" spans="1:16">
      <c r="A473" s="6"/>
      <c r="B473" s="7"/>
      <c r="C473" s="7"/>
      <c r="D473" s="8" t="str">
        <f t="shared" si="28"/>
        <v/>
      </c>
      <c r="E473" s="7"/>
      <c r="F473" s="7"/>
      <c r="G473" s="7"/>
      <c r="H473" s="7"/>
      <c r="I473" s="8" t="str">
        <f t="shared" si="29"/>
        <v/>
      </c>
      <c r="J473" s="8"/>
      <c r="K473" s="8"/>
      <c r="L473" s="8" t="str">
        <f>IF($A473="","",Settings!$B$3+SUMIFS($B$2:$B$495,$A$2:$A$495,"&lt;="&amp;$A473)-SUMIFS($J$2:$J$495,$A$2:$A$495,"&lt;="&amp;$A473)-SUMIFS('Weekly Purchases'!$N$2:$N$503,'Weekly Purchases'!$B$2:$B$503,"&lt;&gt;",'Weekly Purchases'!$B$2:$B$503,"&lt;="&amp;$A473)-SUMIFS('Weekly Purchases'!$N$2:$N$503,'Weekly Purchases'!$B$2:$B$503,"",'Weekly Purchases'!$A$2:$A$503,"&lt;="&amp;$A473))</f>
        <v/>
      </c>
      <c r="M473" s="8" t="str">
        <f>IF($A473="","",Settings!$B$4+SUMIFS($C$2:$C$495,$A$2:$A$495,"&lt;="&amp;$A473)-SUMIFS($K$2:$K$495,$A$2:$A$495,"&lt;="&amp;$A473)-SUMIFS('Weekly Purchases'!$O$2:$O$503,'Weekly Purchases'!$B$2:$B$503,"&lt;&gt;",'Weekly Purchases'!$B$2:$B$503,"&lt;="&amp;$A473)-SUMIFS('Weekly Purchases'!$O$2:$O$503,'Weekly Purchases'!$B$2:$B$503,"",'Weekly Purchases'!$A$2:$A$503,"&lt;="&amp;$A473))</f>
        <v/>
      </c>
      <c r="N473" s="8" t="str">
        <f t="shared" si="30"/>
        <v/>
      </c>
      <c r="O473" s="8" t="str">
        <f t="shared" si="31"/>
        <v/>
      </c>
      <c r="P473" s="4"/>
    </row>
    <row r="474" spans="1:16">
      <c r="A474" s="6"/>
      <c r="B474" s="7"/>
      <c r="C474" s="7"/>
      <c r="D474" s="8" t="str">
        <f t="shared" si="28"/>
        <v/>
      </c>
      <c r="E474" s="7"/>
      <c r="F474" s="7"/>
      <c r="G474" s="7"/>
      <c r="H474" s="7"/>
      <c r="I474" s="8" t="str">
        <f t="shared" si="29"/>
        <v/>
      </c>
      <c r="J474" s="8"/>
      <c r="K474" s="8"/>
      <c r="L474" s="8" t="str">
        <f>IF($A474="","",Settings!$B$3+SUMIFS($B$2:$B$495,$A$2:$A$495,"&lt;="&amp;$A474)-SUMIFS($J$2:$J$495,$A$2:$A$495,"&lt;="&amp;$A474)-SUMIFS('Weekly Purchases'!$N$2:$N$503,'Weekly Purchases'!$B$2:$B$503,"&lt;&gt;",'Weekly Purchases'!$B$2:$B$503,"&lt;="&amp;$A474)-SUMIFS('Weekly Purchases'!$N$2:$N$503,'Weekly Purchases'!$B$2:$B$503,"",'Weekly Purchases'!$A$2:$A$503,"&lt;="&amp;$A474))</f>
        <v/>
      </c>
      <c r="M474" s="8" t="str">
        <f>IF($A474="","",Settings!$B$4+SUMIFS($C$2:$C$495,$A$2:$A$495,"&lt;="&amp;$A474)-SUMIFS($K$2:$K$495,$A$2:$A$495,"&lt;="&amp;$A474)-SUMIFS('Weekly Purchases'!$O$2:$O$503,'Weekly Purchases'!$B$2:$B$503,"&lt;&gt;",'Weekly Purchases'!$B$2:$B$503,"&lt;="&amp;$A474)-SUMIFS('Weekly Purchases'!$O$2:$O$503,'Weekly Purchases'!$B$2:$B$503,"",'Weekly Purchases'!$A$2:$A$503,"&lt;="&amp;$A474))</f>
        <v/>
      </c>
      <c r="N474" s="8" t="str">
        <f t="shared" si="30"/>
        <v/>
      </c>
      <c r="O474" s="8" t="str">
        <f t="shared" si="31"/>
        <v/>
      </c>
      <c r="P474" s="4"/>
    </row>
    <row r="475" spans="1:16">
      <c r="A475" s="6"/>
      <c r="B475" s="7"/>
      <c r="C475" s="7"/>
      <c r="D475" s="8" t="str">
        <f t="shared" si="28"/>
        <v/>
      </c>
      <c r="E475" s="7"/>
      <c r="F475" s="7"/>
      <c r="G475" s="7"/>
      <c r="H475" s="7"/>
      <c r="I475" s="8" t="str">
        <f t="shared" si="29"/>
        <v/>
      </c>
      <c r="J475" s="8"/>
      <c r="K475" s="8"/>
      <c r="L475" s="8" t="str">
        <f>IF($A475="","",Settings!$B$3+SUMIFS($B$2:$B$495,$A$2:$A$495,"&lt;="&amp;$A475)-SUMIFS($J$2:$J$495,$A$2:$A$495,"&lt;="&amp;$A475)-SUMIFS('Weekly Purchases'!$N$2:$N$503,'Weekly Purchases'!$B$2:$B$503,"&lt;&gt;",'Weekly Purchases'!$B$2:$B$503,"&lt;="&amp;$A475)-SUMIFS('Weekly Purchases'!$N$2:$N$503,'Weekly Purchases'!$B$2:$B$503,"",'Weekly Purchases'!$A$2:$A$503,"&lt;="&amp;$A475))</f>
        <v/>
      </c>
      <c r="M475" s="8" t="str">
        <f>IF($A475="","",Settings!$B$4+SUMIFS($C$2:$C$495,$A$2:$A$495,"&lt;="&amp;$A475)-SUMIFS($K$2:$K$495,$A$2:$A$495,"&lt;="&amp;$A475)-SUMIFS('Weekly Purchases'!$O$2:$O$503,'Weekly Purchases'!$B$2:$B$503,"&lt;&gt;",'Weekly Purchases'!$B$2:$B$503,"&lt;="&amp;$A475)-SUMIFS('Weekly Purchases'!$O$2:$O$503,'Weekly Purchases'!$B$2:$B$503,"",'Weekly Purchases'!$A$2:$A$503,"&lt;="&amp;$A475))</f>
        <v/>
      </c>
      <c r="N475" s="8" t="str">
        <f t="shared" si="30"/>
        <v/>
      </c>
      <c r="O475" s="8" t="str">
        <f t="shared" si="31"/>
        <v/>
      </c>
      <c r="P475" s="4"/>
    </row>
    <row r="476" spans="1:16">
      <c r="A476" s="6"/>
      <c r="B476" s="7"/>
      <c r="C476" s="7"/>
      <c r="D476" s="8" t="str">
        <f t="shared" si="28"/>
        <v/>
      </c>
      <c r="E476" s="7"/>
      <c r="F476" s="7"/>
      <c r="G476" s="7"/>
      <c r="H476" s="7"/>
      <c r="I476" s="8" t="str">
        <f t="shared" si="29"/>
        <v/>
      </c>
      <c r="J476" s="8"/>
      <c r="K476" s="8"/>
      <c r="L476" s="8" t="str">
        <f>IF($A476="","",Settings!$B$3+SUMIFS($B$2:$B$495,$A$2:$A$495,"&lt;="&amp;$A476)-SUMIFS($J$2:$J$495,$A$2:$A$495,"&lt;="&amp;$A476)-SUMIFS('Weekly Purchases'!$N$2:$N$503,'Weekly Purchases'!$B$2:$B$503,"&lt;&gt;",'Weekly Purchases'!$B$2:$B$503,"&lt;="&amp;$A476)-SUMIFS('Weekly Purchases'!$N$2:$N$503,'Weekly Purchases'!$B$2:$B$503,"",'Weekly Purchases'!$A$2:$A$503,"&lt;="&amp;$A476))</f>
        <v/>
      </c>
      <c r="M476" s="8" t="str">
        <f>IF($A476="","",Settings!$B$4+SUMIFS($C$2:$C$495,$A$2:$A$495,"&lt;="&amp;$A476)-SUMIFS($K$2:$K$495,$A$2:$A$495,"&lt;="&amp;$A476)-SUMIFS('Weekly Purchases'!$O$2:$O$503,'Weekly Purchases'!$B$2:$B$503,"&lt;&gt;",'Weekly Purchases'!$B$2:$B$503,"&lt;="&amp;$A476)-SUMIFS('Weekly Purchases'!$O$2:$O$503,'Weekly Purchases'!$B$2:$B$503,"",'Weekly Purchases'!$A$2:$A$503,"&lt;="&amp;$A476))</f>
        <v/>
      </c>
      <c r="N476" s="8" t="str">
        <f t="shared" si="30"/>
        <v/>
      </c>
      <c r="O476" s="8" t="str">
        <f t="shared" si="31"/>
        <v/>
      </c>
      <c r="P476" s="4"/>
    </row>
    <row r="477" spans="1:16">
      <c r="A477" s="6"/>
      <c r="B477" s="7"/>
      <c r="C477" s="7"/>
      <c r="D477" s="8" t="str">
        <f t="shared" si="28"/>
        <v/>
      </c>
      <c r="E477" s="7"/>
      <c r="F477" s="7"/>
      <c r="G477" s="7"/>
      <c r="H477" s="7"/>
      <c r="I477" s="8" t="str">
        <f t="shared" si="29"/>
        <v/>
      </c>
      <c r="J477" s="8"/>
      <c r="K477" s="8"/>
      <c r="L477" s="8" t="str">
        <f>IF($A477="","",Settings!$B$3+SUMIFS($B$2:$B$495,$A$2:$A$495,"&lt;="&amp;$A477)-SUMIFS($J$2:$J$495,$A$2:$A$495,"&lt;="&amp;$A477)-SUMIFS('Weekly Purchases'!$N$2:$N$503,'Weekly Purchases'!$B$2:$B$503,"&lt;&gt;",'Weekly Purchases'!$B$2:$B$503,"&lt;="&amp;$A477)-SUMIFS('Weekly Purchases'!$N$2:$N$503,'Weekly Purchases'!$B$2:$B$503,"",'Weekly Purchases'!$A$2:$A$503,"&lt;="&amp;$A477))</f>
        <v/>
      </c>
      <c r="M477" s="8" t="str">
        <f>IF($A477="","",Settings!$B$4+SUMIFS($C$2:$C$495,$A$2:$A$495,"&lt;="&amp;$A477)-SUMIFS($K$2:$K$495,$A$2:$A$495,"&lt;="&amp;$A477)-SUMIFS('Weekly Purchases'!$O$2:$O$503,'Weekly Purchases'!$B$2:$B$503,"&lt;&gt;",'Weekly Purchases'!$B$2:$B$503,"&lt;="&amp;$A477)-SUMIFS('Weekly Purchases'!$O$2:$O$503,'Weekly Purchases'!$B$2:$B$503,"",'Weekly Purchases'!$A$2:$A$503,"&lt;="&amp;$A477))</f>
        <v/>
      </c>
      <c r="N477" s="8" t="str">
        <f t="shared" si="30"/>
        <v/>
      </c>
      <c r="O477" s="8" t="str">
        <f t="shared" si="31"/>
        <v/>
      </c>
      <c r="P477" s="4"/>
    </row>
    <row r="478" spans="1:16">
      <c r="A478" s="6"/>
      <c r="B478" s="7"/>
      <c r="C478" s="7"/>
      <c r="D478" s="8" t="str">
        <f t="shared" si="28"/>
        <v/>
      </c>
      <c r="E478" s="7"/>
      <c r="F478" s="7"/>
      <c r="G478" s="7"/>
      <c r="H478" s="7"/>
      <c r="I478" s="8" t="str">
        <f t="shared" si="29"/>
        <v/>
      </c>
      <c r="J478" s="8"/>
      <c r="K478" s="8"/>
      <c r="L478" s="8" t="str">
        <f>IF($A478="","",Settings!$B$3+SUMIFS($B$2:$B$495,$A$2:$A$495,"&lt;="&amp;$A478)-SUMIFS($J$2:$J$495,$A$2:$A$495,"&lt;="&amp;$A478)-SUMIFS('Weekly Purchases'!$N$2:$N$503,'Weekly Purchases'!$B$2:$B$503,"&lt;&gt;",'Weekly Purchases'!$B$2:$B$503,"&lt;="&amp;$A478)-SUMIFS('Weekly Purchases'!$N$2:$N$503,'Weekly Purchases'!$B$2:$B$503,"",'Weekly Purchases'!$A$2:$A$503,"&lt;="&amp;$A478))</f>
        <v/>
      </c>
      <c r="M478" s="8" t="str">
        <f>IF($A478="","",Settings!$B$4+SUMIFS($C$2:$C$495,$A$2:$A$495,"&lt;="&amp;$A478)-SUMIFS($K$2:$K$495,$A$2:$A$495,"&lt;="&amp;$A478)-SUMIFS('Weekly Purchases'!$O$2:$O$503,'Weekly Purchases'!$B$2:$B$503,"&lt;&gt;",'Weekly Purchases'!$B$2:$B$503,"&lt;="&amp;$A478)-SUMIFS('Weekly Purchases'!$O$2:$O$503,'Weekly Purchases'!$B$2:$B$503,"",'Weekly Purchases'!$A$2:$A$503,"&lt;="&amp;$A478))</f>
        <v/>
      </c>
      <c r="N478" s="8" t="str">
        <f t="shared" si="30"/>
        <v/>
      </c>
      <c r="O478" s="8" t="str">
        <f t="shared" si="31"/>
        <v/>
      </c>
      <c r="P478" s="4"/>
    </row>
    <row r="479" spans="1:16">
      <c r="A479" s="6"/>
      <c r="B479" s="7"/>
      <c r="C479" s="7"/>
      <c r="D479" s="8" t="str">
        <f t="shared" si="28"/>
        <v/>
      </c>
      <c r="E479" s="7"/>
      <c r="F479" s="7"/>
      <c r="G479" s="7"/>
      <c r="H479" s="7"/>
      <c r="I479" s="8" t="str">
        <f t="shared" si="29"/>
        <v/>
      </c>
      <c r="J479" s="8"/>
      <c r="K479" s="8"/>
      <c r="L479" s="8" t="str">
        <f>IF($A479="","",Settings!$B$3+SUMIFS($B$2:$B$495,$A$2:$A$495,"&lt;="&amp;$A479)-SUMIFS($J$2:$J$495,$A$2:$A$495,"&lt;="&amp;$A479)-SUMIFS('Weekly Purchases'!$N$2:$N$503,'Weekly Purchases'!$B$2:$B$503,"&lt;&gt;",'Weekly Purchases'!$B$2:$B$503,"&lt;="&amp;$A479)-SUMIFS('Weekly Purchases'!$N$2:$N$503,'Weekly Purchases'!$B$2:$B$503,"",'Weekly Purchases'!$A$2:$A$503,"&lt;="&amp;$A479))</f>
        <v/>
      </c>
      <c r="M479" s="8" t="str">
        <f>IF($A479="","",Settings!$B$4+SUMIFS($C$2:$C$495,$A$2:$A$495,"&lt;="&amp;$A479)-SUMIFS($K$2:$K$495,$A$2:$A$495,"&lt;="&amp;$A479)-SUMIFS('Weekly Purchases'!$O$2:$O$503,'Weekly Purchases'!$B$2:$B$503,"&lt;&gt;",'Weekly Purchases'!$B$2:$B$503,"&lt;="&amp;$A479)-SUMIFS('Weekly Purchases'!$O$2:$O$503,'Weekly Purchases'!$B$2:$B$503,"",'Weekly Purchases'!$A$2:$A$503,"&lt;="&amp;$A479))</f>
        <v/>
      </c>
      <c r="N479" s="8" t="str">
        <f t="shared" si="30"/>
        <v/>
      </c>
      <c r="O479" s="8" t="str">
        <f t="shared" si="31"/>
        <v/>
      </c>
      <c r="P479" s="4"/>
    </row>
    <row r="480" spans="1:16">
      <c r="A480" s="6"/>
      <c r="B480" s="7"/>
      <c r="C480" s="7"/>
      <c r="D480" s="8" t="str">
        <f t="shared" si="28"/>
        <v/>
      </c>
      <c r="E480" s="7"/>
      <c r="F480" s="7"/>
      <c r="G480" s="7"/>
      <c r="H480" s="7"/>
      <c r="I480" s="8" t="str">
        <f t="shared" si="29"/>
        <v/>
      </c>
      <c r="J480" s="8"/>
      <c r="K480" s="8"/>
      <c r="L480" s="8" t="str">
        <f>IF($A480="","",Settings!$B$3+SUMIFS($B$2:$B$495,$A$2:$A$495,"&lt;="&amp;$A480)-SUMIFS($J$2:$J$495,$A$2:$A$495,"&lt;="&amp;$A480)-SUMIFS('Weekly Purchases'!$N$2:$N$503,'Weekly Purchases'!$B$2:$B$503,"&lt;&gt;",'Weekly Purchases'!$B$2:$B$503,"&lt;="&amp;$A480)-SUMIFS('Weekly Purchases'!$N$2:$N$503,'Weekly Purchases'!$B$2:$B$503,"",'Weekly Purchases'!$A$2:$A$503,"&lt;="&amp;$A480))</f>
        <v/>
      </c>
      <c r="M480" s="8" t="str">
        <f>IF($A480="","",Settings!$B$4+SUMIFS($C$2:$C$495,$A$2:$A$495,"&lt;="&amp;$A480)-SUMIFS($K$2:$K$495,$A$2:$A$495,"&lt;="&amp;$A480)-SUMIFS('Weekly Purchases'!$O$2:$O$503,'Weekly Purchases'!$B$2:$B$503,"&lt;&gt;",'Weekly Purchases'!$B$2:$B$503,"&lt;="&amp;$A480)-SUMIFS('Weekly Purchases'!$O$2:$O$503,'Weekly Purchases'!$B$2:$B$503,"",'Weekly Purchases'!$A$2:$A$503,"&lt;="&amp;$A480))</f>
        <v/>
      </c>
      <c r="N480" s="8" t="str">
        <f t="shared" si="30"/>
        <v/>
      </c>
      <c r="O480" s="8" t="str">
        <f t="shared" si="31"/>
        <v/>
      </c>
      <c r="P480" s="4"/>
    </row>
    <row r="481" spans="1:16">
      <c r="A481" s="6"/>
      <c r="B481" s="7"/>
      <c r="C481" s="7"/>
      <c r="D481" s="8" t="str">
        <f t="shared" si="28"/>
        <v/>
      </c>
      <c r="E481" s="7"/>
      <c r="F481" s="7"/>
      <c r="G481" s="7"/>
      <c r="H481" s="7"/>
      <c r="I481" s="8" t="str">
        <f t="shared" si="29"/>
        <v/>
      </c>
      <c r="J481" s="8"/>
      <c r="K481" s="8"/>
      <c r="L481" s="8" t="str">
        <f>IF($A481="","",Settings!$B$3+SUMIFS($B$2:$B$495,$A$2:$A$495,"&lt;="&amp;$A481)-SUMIFS($J$2:$J$495,$A$2:$A$495,"&lt;="&amp;$A481)-SUMIFS('Weekly Purchases'!$N$2:$N$503,'Weekly Purchases'!$B$2:$B$503,"&lt;&gt;",'Weekly Purchases'!$B$2:$B$503,"&lt;="&amp;$A481)-SUMIFS('Weekly Purchases'!$N$2:$N$503,'Weekly Purchases'!$B$2:$B$503,"",'Weekly Purchases'!$A$2:$A$503,"&lt;="&amp;$A481))</f>
        <v/>
      </c>
      <c r="M481" s="8" t="str">
        <f>IF($A481="","",Settings!$B$4+SUMIFS($C$2:$C$495,$A$2:$A$495,"&lt;="&amp;$A481)-SUMIFS($K$2:$K$495,$A$2:$A$495,"&lt;="&amp;$A481)-SUMIFS('Weekly Purchases'!$O$2:$O$503,'Weekly Purchases'!$B$2:$B$503,"&lt;&gt;",'Weekly Purchases'!$B$2:$B$503,"&lt;="&amp;$A481)-SUMIFS('Weekly Purchases'!$O$2:$O$503,'Weekly Purchases'!$B$2:$B$503,"",'Weekly Purchases'!$A$2:$A$503,"&lt;="&amp;$A481))</f>
        <v/>
      </c>
      <c r="N481" s="8" t="str">
        <f t="shared" si="30"/>
        <v/>
      </c>
      <c r="O481" s="8" t="str">
        <f t="shared" si="31"/>
        <v/>
      </c>
      <c r="P481" s="4"/>
    </row>
    <row r="482" spans="1:16">
      <c r="A482" s="6"/>
      <c r="B482" s="7"/>
      <c r="C482" s="7"/>
      <c r="D482" s="8" t="str">
        <f t="shared" si="28"/>
        <v/>
      </c>
      <c r="E482" s="7"/>
      <c r="F482" s="7"/>
      <c r="G482" s="7"/>
      <c r="H482" s="7"/>
      <c r="I482" s="8" t="str">
        <f t="shared" si="29"/>
        <v/>
      </c>
      <c r="J482" s="8"/>
      <c r="K482" s="8"/>
      <c r="L482" s="8" t="str">
        <f>IF($A482="","",Settings!$B$3+SUMIFS($B$2:$B$495,$A$2:$A$495,"&lt;="&amp;$A482)-SUMIFS($J$2:$J$495,$A$2:$A$495,"&lt;="&amp;$A482)-SUMIFS('Weekly Purchases'!$N$2:$N$503,'Weekly Purchases'!$B$2:$B$503,"&lt;&gt;",'Weekly Purchases'!$B$2:$B$503,"&lt;="&amp;$A482)-SUMIFS('Weekly Purchases'!$N$2:$N$503,'Weekly Purchases'!$B$2:$B$503,"",'Weekly Purchases'!$A$2:$A$503,"&lt;="&amp;$A482))</f>
        <v/>
      </c>
      <c r="M482" s="8" t="str">
        <f>IF($A482="","",Settings!$B$4+SUMIFS($C$2:$C$495,$A$2:$A$495,"&lt;="&amp;$A482)-SUMIFS($K$2:$K$495,$A$2:$A$495,"&lt;="&amp;$A482)-SUMIFS('Weekly Purchases'!$O$2:$O$503,'Weekly Purchases'!$B$2:$B$503,"&lt;&gt;",'Weekly Purchases'!$B$2:$B$503,"&lt;="&amp;$A482)-SUMIFS('Weekly Purchases'!$O$2:$O$503,'Weekly Purchases'!$B$2:$B$503,"",'Weekly Purchases'!$A$2:$A$503,"&lt;="&amp;$A482))</f>
        <v/>
      </c>
      <c r="N482" s="8" t="str">
        <f t="shared" si="30"/>
        <v/>
      </c>
      <c r="O482" s="8" t="str">
        <f t="shared" si="31"/>
        <v/>
      </c>
      <c r="P482" s="4"/>
    </row>
    <row r="483" spans="1:16">
      <c r="A483" s="6"/>
      <c r="B483" s="7"/>
      <c r="C483" s="7"/>
      <c r="D483" s="8" t="str">
        <f t="shared" si="28"/>
        <v/>
      </c>
      <c r="E483" s="7"/>
      <c r="F483" s="7"/>
      <c r="G483" s="7"/>
      <c r="H483" s="7"/>
      <c r="I483" s="8" t="str">
        <f t="shared" si="29"/>
        <v/>
      </c>
      <c r="J483" s="8"/>
      <c r="K483" s="8"/>
      <c r="L483" s="8" t="str">
        <f>IF($A483="","",Settings!$B$3+SUMIFS($B$2:$B$495,$A$2:$A$495,"&lt;="&amp;$A483)-SUMIFS($J$2:$J$495,$A$2:$A$495,"&lt;="&amp;$A483)-SUMIFS('Weekly Purchases'!$N$2:$N$503,'Weekly Purchases'!$B$2:$B$503,"&lt;&gt;",'Weekly Purchases'!$B$2:$B$503,"&lt;="&amp;$A483)-SUMIFS('Weekly Purchases'!$N$2:$N$503,'Weekly Purchases'!$B$2:$B$503,"",'Weekly Purchases'!$A$2:$A$503,"&lt;="&amp;$A483))</f>
        <v/>
      </c>
      <c r="M483" s="8" t="str">
        <f>IF($A483="","",Settings!$B$4+SUMIFS($C$2:$C$495,$A$2:$A$495,"&lt;="&amp;$A483)-SUMIFS($K$2:$K$495,$A$2:$A$495,"&lt;="&amp;$A483)-SUMIFS('Weekly Purchases'!$O$2:$O$503,'Weekly Purchases'!$B$2:$B$503,"&lt;&gt;",'Weekly Purchases'!$B$2:$B$503,"&lt;="&amp;$A483)-SUMIFS('Weekly Purchases'!$O$2:$O$503,'Weekly Purchases'!$B$2:$B$503,"",'Weekly Purchases'!$A$2:$A$503,"&lt;="&amp;$A483))</f>
        <v/>
      </c>
      <c r="N483" s="8" t="str">
        <f t="shared" si="30"/>
        <v/>
      </c>
      <c r="O483" s="8" t="str">
        <f t="shared" si="31"/>
        <v/>
      </c>
      <c r="P483" s="4"/>
    </row>
    <row r="484" spans="1:16">
      <c r="A484" s="6"/>
      <c r="B484" s="7"/>
      <c r="C484" s="7"/>
      <c r="D484" s="8" t="str">
        <f t="shared" si="28"/>
        <v/>
      </c>
      <c r="E484" s="7"/>
      <c r="F484" s="7"/>
      <c r="G484" s="7"/>
      <c r="H484" s="7"/>
      <c r="I484" s="8" t="str">
        <f t="shared" si="29"/>
        <v/>
      </c>
      <c r="J484" s="8"/>
      <c r="K484" s="8"/>
      <c r="L484" s="8" t="str">
        <f>IF($A484="","",Settings!$B$3+SUMIFS($B$2:$B$495,$A$2:$A$495,"&lt;="&amp;$A484)-SUMIFS($J$2:$J$495,$A$2:$A$495,"&lt;="&amp;$A484)-SUMIFS('Weekly Purchases'!$N$2:$N$503,'Weekly Purchases'!$B$2:$B$503,"&lt;&gt;",'Weekly Purchases'!$B$2:$B$503,"&lt;="&amp;$A484)-SUMIFS('Weekly Purchases'!$N$2:$N$503,'Weekly Purchases'!$B$2:$B$503,"",'Weekly Purchases'!$A$2:$A$503,"&lt;="&amp;$A484))</f>
        <v/>
      </c>
      <c r="M484" s="8" t="str">
        <f>IF($A484="","",Settings!$B$4+SUMIFS($C$2:$C$495,$A$2:$A$495,"&lt;="&amp;$A484)-SUMIFS($K$2:$K$495,$A$2:$A$495,"&lt;="&amp;$A484)-SUMIFS('Weekly Purchases'!$O$2:$O$503,'Weekly Purchases'!$B$2:$B$503,"&lt;&gt;",'Weekly Purchases'!$B$2:$B$503,"&lt;="&amp;$A484)-SUMIFS('Weekly Purchases'!$O$2:$O$503,'Weekly Purchases'!$B$2:$B$503,"",'Weekly Purchases'!$A$2:$A$503,"&lt;="&amp;$A484))</f>
        <v/>
      </c>
      <c r="N484" s="8" t="str">
        <f t="shared" si="30"/>
        <v/>
      </c>
      <c r="O484" s="8" t="str">
        <f t="shared" si="31"/>
        <v/>
      </c>
      <c r="P484" s="4"/>
    </row>
    <row r="485" spans="1:16">
      <c r="A485" s="6"/>
      <c r="B485" s="7"/>
      <c r="C485" s="7"/>
      <c r="D485" s="8" t="str">
        <f t="shared" si="28"/>
        <v/>
      </c>
      <c r="E485" s="7"/>
      <c r="F485" s="7"/>
      <c r="G485" s="7"/>
      <c r="H485" s="7"/>
      <c r="I485" s="8" t="str">
        <f t="shared" si="29"/>
        <v/>
      </c>
      <c r="J485" s="8"/>
      <c r="K485" s="8"/>
      <c r="L485" s="8" t="str">
        <f>IF($A485="","",Settings!$B$3+SUMIFS($B$2:$B$495,$A$2:$A$495,"&lt;="&amp;$A485)-SUMIFS($J$2:$J$495,$A$2:$A$495,"&lt;="&amp;$A485)-SUMIFS('Weekly Purchases'!$N$2:$N$503,'Weekly Purchases'!$B$2:$B$503,"&lt;&gt;",'Weekly Purchases'!$B$2:$B$503,"&lt;="&amp;$A485)-SUMIFS('Weekly Purchases'!$N$2:$N$503,'Weekly Purchases'!$B$2:$B$503,"",'Weekly Purchases'!$A$2:$A$503,"&lt;="&amp;$A485))</f>
        <v/>
      </c>
      <c r="M485" s="8" t="str">
        <f>IF($A485="","",Settings!$B$4+SUMIFS($C$2:$C$495,$A$2:$A$495,"&lt;="&amp;$A485)-SUMIFS($K$2:$K$495,$A$2:$A$495,"&lt;="&amp;$A485)-SUMIFS('Weekly Purchases'!$O$2:$O$503,'Weekly Purchases'!$B$2:$B$503,"&lt;&gt;",'Weekly Purchases'!$B$2:$B$503,"&lt;="&amp;$A485)-SUMIFS('Weekly Purchases'!$O$2:$O$503,'Weekly Purchases'!$B$2:$B$503,"",'Weekly Purchases'!$A$2:$A$503,"&lt;="&amp;$A485))</f>
        <v/>
      </c>
      <c r="N485" s="8" t="str">
        <f t="shared" si="30"/>
        <v/>
      </c>
      <c r="O485" s="8" t="str">
        <f t="shared" si="31"/>
        <v/>
      </c>
      <c r="P485" s="4"/>
    </row>
    <row r="486" spans="1:16">
      <c r="A486" s="6"/>
      <c r="B486" s="7"/>
      <c r="C486" s="7"/>
      <c r="D486" s="8" t="str">
        <f t="shared" si="28"/>
        <v/>
      </c>
      <c r="E486" s="7"/>
      <c r="F486" s="7"/>
      <c r="G486" s="7"/>
      <c r="H486" s="7"/>
      <c r="I486" s="8" t="str">
        <f t="shared" si="29"/>
        <v/>
      </c>
      <c r="J486" s="8"/>
      <c r="K486" s="8"/>
      <c r="L486" s="8" t="str">
        <f>IF($A486="","",Settings!$B$3+SUMIFS($B$2:$B$495,$A$2:$A$495,"&lt;="&amp;$A486)-SUMIFS($J$2:$J$495,$A$2:$A$495,"&lt;="&amp;$A486)-SUMIFS('Weekly Purchases'!$N$2:$N$503,'Weekly Purchases'!$B$2:$B$503,"&lt;&gt;",'Weekly Purchases'!$B$2:$B$503,"&lt;="&amp;$A486)-SUMIFS('Weekly Purchases'!$N$2:$N$503,'Weekly Purchases'!$B$2:$B$503,"",'Weekly Purchases'!$A$2:$A$503,"&lt;="&amp;$A486))</f>
        <v/>
      </c>
      <c r="M486" s="8" t="str">
        <f>IF($A486="","",Settings!$B$4+SUMIFS($C$2:$C$495,$A$2:$A$495,"&lt;="&amp;$A486)-SUMIFS($K$2:$K$495,$A$2:$A$495,"&lt;="&amp;$A486)-SUMIFS('Weekly Purchases'!$O$2:$O$503,'Weekly Purchases'!$B$2:$B$503,"&lt;&gt;",'Weekly Purchases'!$B$2:$B$503,"&lt;="&amp;$A486)-SUMIFS('Weekly Purchases'!$O$2:$O$503,'Weekly Purchases'!$B$2:$B$503,"",'Weekly Purchases'!$A$2:$A$503,"&lt;="&amp;$A486))</f>
        <v/>
      </c>
      <c r="N486" s="8" t="str">
        <f t="shared" si="30"/>
        <v/>
      </c>
      <c r="O486" s="8" t="str">
        <f t="shared" si="31"/>
        <v/>
      </c>
      <c r="P486" s="4"/>
    </row>
    <row r="487" spans="1:16">
      <c r="A487" s="6"/>
      <c r="B487" s="7"/>
      <c r="C487" s="7"/>
      <c r="D487" s="8" t="str">
        <f t="shared" si="28"/>
        <v/>
      </c>
      <c r="E487" s="7"/>
      <c r="F487" s="7"/>
      <c r="G487" s="7"/>
      <c r="H487" s="7"/>
      <c r="I487" s="8" t="str">
        <f t="shared" si="29"/>
        <v/>
      </c>
      <c r="J487" s="8"/>
      <c r="K487" s="8"/>
      <c r="L487" s="8" t="str">
        <f>IF($A487="","",Settings!$B$3+SUMIFS($B$2:$B$495,$A$2:$A$495,"&lt;="&amp;$A487)-SUMIFS($J$2:$J$495,$A$2:$A$495,"&lt;="&amp;$A487)-SUMIFS('Weekly Purchases'!$N$2:$N$503,'Weekly Purchases'!$B$2:$B$503,"&lt;&gt;",'Weekly Purchases'!$B$2:$B$503,"&lt;="&amp;$A487)-SUMIFS('Weekly Purchases'!$N$2:$N$503,'Weekly Purchases'!$B$2:$B$503,"",'Weekly Purchases'!$A$2:$A$503,"&lt;="&amp;$A487))</f>
        <v/>
      </c>
      <c r="M487" s="8" t="str">
        <f>IF($A487="","",Settings!$B$4+SUMIFS($C$2:$C$495,$A$2:$A$495,"&lt;="&amp;$A487)-SUMIFS($K$2:$K$495,$A$2:$A$495,"&lt;="&amp;$A487)-SUMIFS('Weekly Purchases'!$O$2:$O$503,'Weekly Purchases'!$B$2:$B$503,"&lt;&gt;",'Weekly Purchases'!$B$2:$B$503,"&lt;="&amp;$A487)-SUMIFS('Weekly Purchases'!$O$2:$O$503,'Weekly Purchases'!$B$2:$B$503,"",'Weekly Purchases'!$A$2:$A$503,"&lt;="&amp;$A487))</f>
        <v/>
      </c>
      <c r="N487" s="8" t="str">
        <f t="shared" si="30"/>
        <v/>
      </c>
      <c r="O487" s="8" t="str">
        <f t="shared" si="31"/>
        <v/>
      </c>
      <c r="P487" s="4"/>
    </row>
    <row r="488" spans="1:16">
      <c r="A488" s="6"/>
      <c r="B488" s="7"/>
      <c r="C488" s="7"/>
      <c r="D488" s="8" t="str">
        <f t="shared" si="28"/>
        <v/>
      </c>
      <c r="E488" s="7"/>
      <c r="F488" s="7"/>
      <c r="G488" s="7"/>
      <c r="H488" s="7"/>
      <c r="I488" s="8" t="str">
        <f t="shared" si="29"/>
        <v/>
      </c>
      <c r="J488" s="8"/>
      <c r="K488" s="8"/>
      <c r="L488" s="8" t="str">
        <f>IF($A488="","",Settings!$B$3+SUMIFS($B$2:$B$495,$A$2:$A$495,"&lt;="&amp;$A488)-SUMIFS($J$2:$J$495,$A$2:$A$495,"&lt;="&amp;$A488)-SUMIFS('Weekly Purchases'!$N$2:$N$503,'Weekly Purchases'!$B$2:$B$503,"&lt;&gt;",'Weekly Purchases'!$B$2:$B$503,"&lt;="&amp;$A488)-SUMIFS('Weekly Purchases'!$N$2:$N$503,'Weekly Purchases'!$B$2:$B$503,"",'Weekly Purchases'!$A$2:$A$503,"&lt;="&amp;$A488))</f>
        <v/>
      </c>
      <c r="M488" s="8" t="str">
        <f>IF($A488="","",Settings!$B$4+SUMIFS($C$2:$C$495,$A$2:$A$495,"&lt;="&amp;$A488)-SUMIFS($K$2:$K$495,$A$2:$A$495,"&lt;="&amp;$A488)-SUMIFS('Weekly Purchases'!$O$2:$O$503,'Weekly Purchases'!$B$2:$B$503,"&lt;&gt;",'Weekly Purchases'!$B$2:$B$503,"&lt;="&amp;$A488)-SUMIFS('Weekly Purchases'!$O$2:$O$503,'Weekly Purchases'!$B$2:$B$503,"",'Weekly Purchases'!$A$2:$A$503,"&lt;="&amp;$A488))</f>
        <v/>
      </c>
      <c r="N488" s="8" t="str">
        <f t="shared" si="30"/>
        <v/>
      </c>
      <c r="O488" s="8" t="str">
        <f t="shared" si="31"/>
        <v/>
      </c>
      <c r="P488" s="4"/>
    </row>
    <row r="489" spans="1:16">
      <c r="A489" s="6"/>
      <c r="B489" s="7"/>
      <c r="C489" s="7"/>
      <c r="D489" s="8" t="str">
        <f t="shared" si="28"/>
        <v/>
      </c>
      <c r="E489" s="7"/>
      <c r="F489" s="7"/>
      <c r="G489" s="7"/>
      <c r="H489" s="7"/>
      <c r="I489" s="8" t="str">
        <f t="shared" si="29"/>
        <v/>
      </c>
      <c r="J489" s="8"/>
      <c r="K489" s="8"/>
      <c r="L489" s="8" t="str">
        <f>IF($A489="","",Settings!$B$3+SUMIFS($B$2:$B$495,$A$2:$A$495,"&lt;="&amp;$A489)-SUMIFS($J$2:$J$495,$A$2:$A$495,"&lt;="&amp;$A489)-SUMIFS('Weekly Purchases'!$N$2:$N$503,'Weekly Purchases'!$B$2:$B$503,"&lt;&gt;",'Weekly Purchases'!$B$2:$B$503,"&lt;="&amp;$A489)-SUMIFS('Weekly Purchases'!$N$2:$N$503,'Weekly Purchases'!$B$2:$B$503,"",'Weekly Purchases'!$A$2:$A$503,"&lt;="&amp;$A489))</f>
        <v/>
      </c>
      <c r="M489" s="8" t="str">
        <f>IF($A489="","",Settings!$B$4+SUMIFS($C$2:$C$495,$A$2:$A$495,"&lt;="&amp;$A489)-SUMIFS($K$2:$K$495,$A$2:$A$495,"&lt;="&amp;$A489)-SUMIFS('Weekly Purchases'!$O$2:$O$503,'Weekly Purchases'!$B$2:$B$503,"&lt;&gt;",'Weekly Purchases'!$B$2:$B$503,"&lt;="&amp;$A489)-SUMIFS('Weekly Purchases'!$O$2:$O$503,'Weekly Purchases'!$B$2:$B$503,"",'Weekly Purchases'!$A$2:$A$503,"&lt;="&amp;$A489))</f>
        <v/>
      </c>
      <c r="N489" s="8" t="str">
        <f t="shared" si="30"/>
        <v/>
      </c>
      <c r="O489" s="8" t="str">
        <f t="shared" si="31"/>
        <v/>
      </c>
      <c r="P489" s="4"/>
    </row>
    <row r="490" spans="1:16">
      <c r="A490" s="6"/>
      <c r="B490" s="7"/>
      <c r="C490" s="7"/>
      <c r="D490" s="8" t="str">
        <f t="shared" si="28"/>
        <v/>
      </c>
      <c r="E490" s="7"/>
      <c r="F490" s="7"/>
      <c r="G490" s="7"/>
      <c r="H490" s="7"/>
      <c r="I490" s="8" t="str">
        <f t="shared" si="29"/>
        <v/>
      </c>
      <c r="J490" s="8"/>
      <c r="K490" s="8"/>
      <c r="L490" s="8" t="str">
        <f>IF($A490="","",Settings!$B$3+SUMIFS($B$2:$B$495,$A$2:$A$495,"&lt;="&amp;$A490)-SUMIFS($J$2:$J$495,$A$2:$A$495,"&lt;="&amp;$A490)-SUMIFS('Weekly Purchases'!$N$2:$N$503,'Weekly Purchases'!$B$2:$B$503,"&lt;&gt;",'Weekly Purchases'!$B$2:$B$503,"&lt;="&amp;$A490)-SUMIFS('Weekly Purchases'!$N$2:$N$503,'Weekly Purchases'!$B$2:$B$503,"",'Weekly Purchases'!$A$2:$A$503,"&lt;="&amp;$A490))</f>
        <v/>
      </c>
      <c r="M490" s="8" t="str">
        <f>IF($A490="","",Settings!$B$4+SUMIFS($C$2:$C$495,$A$2:$A$495,"&lt;="&amp;$A490)-SUMIFS($K$2:$K$495,$A$2:$A$495,"&lt;="&amp;$A490)-SUMIFS('Weekly Purchases'!$O$2:$O$503,'Weekly Purchases'!$B$2:$B$503,"&lt;&gt;",'Weekly Purchases'!$B$2:$B$503,"&lt;="&amp;$A490)-SUMIFS('Weekly Purchases'!$O$2:$O$503,'Weekly Purchases'!$B$2:$B$503,"",'Weekly Purchases'!$A$2:$A$503,"&lt;="&amp;$A490))</f>
        <v/>
      </c>
      <c r="N490" s="8" t="str">
        <f t="shared" si="30"/>
        <v/>
      </c>
      <c r="O490" s="8" t="str">
        <f t="shared" si="31"/>
        <v/>
      </c>
      <c r="P490" s="4"/>
    </row>
    <row r="491" spans="1:16">
      <c r="A491" s="6"/>
      <c r="B491" s="7"/>
      <c r="C491" s="7"/>
      <c r="D491" s="8" t="str">
        <f t="shared" si="28"/>
        <v/>
      </c>
      <c r="E491" s="7"/>
      <c r="F491" s="7"/>
      <c r="G491" s="7"/>
      <c r="H491" s="7"/>
      <c r="I491" s="8" t="str">
        <f t="shared" si="29"/>
        <v/>
      </c>
      <c r="J491" s="8"/>
      <c r="K491" s="8"/>
      <c r="L491" s="8" t="str">
        <f>IF($A491="","",Settings!$B$3+SUMIFS($B$2:$B$495,$A$2:$A$495,"&lt;="&amp;$A491)-SUMIFS($J$2:$J$495,$A$2:$A$495,"&lt;="&amp;$A491)-SUMIFS('Weekly Purchases'!$N$2:$N$503,'Weekly Purchases'!$B$2:$B$503,"&lt;&gt;",'Weekly Purchases'!$B$2:$B$503,"&lt;="&amp;$A491)-SUMIFS('Weekly Purchases'!$N$2:$N$503,'Weekly Purchases'!$B$2:$B$503,"",'Weekly Purchases'!$A$2:$A$503,"&lt;="&amp;$A491))</f>
        <v/>
      </c>
      <c r="M491" s="8" t="str">
        <f>IF($A491="","",Settings!$B$4+SUMIFS($C$2:$C$495,$A$2:$A$495,"&lt;="&amp;$A491)-SUMIFS($K$2:$K$495,$A$2:$A$495,"&lt;="&amp;$A491)-SUMIFS('Weekly Purchases'!$O$2:$O$503,'Weekly Purchases'!$B$2:$B$503,"&lt;&gt;",'Weekly Purchases'!$B$2:$B$503,"&lt;="&amp;$A491)-SUMIFS('Weekly Purchases'!$O$2:$O$503,'Weekly Purchases'!$B$2:$B$503,"",'Weekly Purchases'!$A$2:$A$503,"&lt;="&amp;$A491))</f>
        <v/>
      </c>
      <c r="N491" s="8" t="str">
        <f t="shared" si="30"/>
        <v/>
      </c>
      <c r="O491" s="8" t="str">
        <f t="shared" si="31"/>
        <v/>
      </c>
      <c r="P491" s="4"/>
    </row>
    <row r="492" spans="1:16">
      <c r="A492" s="6"/>
      <c r="B492" s="7"/>
      <c r="C492" s="7"/>
      <c r="D492" s="8" t="str">
        <f t="shared" si="28"/>
        <v/>
      </c>
      <c r="E492" s="7"/>
      <c r="F492" s="7"/>
      <c r="G492" s="7"/>
      <c r="H492" s="7"/>
      <c r="I492" s="8" t="str">
        <f t="shared" si="29"/>
        <v/>
      </c>
      <c r="J492" s="8"/>
      <c r="K492" s="8"/>
      <c r="L492" s="8" t="str">
        <f>IF($A492="","",Settings!$B$3+SUMIFS($B$2:$B$495,$A$2:$A$495,"&lt;="&amp;$A492)-SUMIFS($J$2:$J$495,$A$2:$A$495,"&lt;="&amp;$A492)-SUMIFS('Weekly Purchases'!$N$2:$N$503,'Weekly Purchases'!$B$2:$B$503,"&lt;&gt;",'Weekly Purchases'!$B$2:$B$503,"&lt;="&amp;$A492)-SUMIFS('Weekly Purchases'!$N$2:$N$503,'Weekly Purchases'!$B$2:$B$503,"",'Weekly Purchases'!$A$2:$A$503,"&lt;="&amp;$A492))</f>
        <v/>
      </c>
      <c r="M492" s="8" t="str">
        <f>IF($A492="","",Settings!$B$4+SUMIFS($C$2:$C$495,$A$2:$A$495,"&lt;="&amp;$A492)-SUMIFS($K$2:$K$495,$A$2:$A$495,"&lt;="&amp;$A492)-SUMIFS('Weekly Purchases'!$O$2:$O$503,'Weekly Purchases'!$B$2:$B$503,"&lt;&gt;",'Weekly Purchases'!$B$2:$B$503,"&lt;="&amp;$A492)-SUMIFS('Weekly Purchases'!$O$2:$O$503,'Weekly Purchases'!$B$2:$B$503,"",'Weekly Purchases'!$A$2:$A$503,"&lt;="&amp;$A492))</f>
        <v/>
      </c>
      <c r="N492" s="8" t="str">
        <f t="shared" si="30"/>
        <v/>
      </c>
      <c r="O492" s="8" t="str">
        <f t="shared" si="31"/>
        <v/>
      </c>
      <c r="P492" s="4"/>
    </row>
    <row r="493" spans="1:16">
      <c r="A493" s="6"/>
      <c r="B493" s="7"/>
      <c r="C493" s="7"/>
      <c r="D493" s="8" t="str">
        <f t="shared" si="28"/>
        <v/>
      </c>
      <c r="E493" s="7"/>
      <c r="F493" s="7"/>
      <c r="G493" s="7"/>
      <c r="H493" s="7"/>
      <c r="I493" s="8" t="str">
        <f t="shared" si="29"/>
        <v/>
      </c>
      <c r="J493" s="8"/>
      <c r="K493" s="8"/>
      <c r="L493" s="8" t="str">
        <f>IF($A493="","",Settings!$B$3+SUMIFS($B$2:$B$495,$A$2:$A$495,"&lt;="&amp;$A493)-SUMIFS($J$2:$J$495,$A$2:$A$495,"&lt;="&amp;$A493)-SUMIFS('Weekly Purchases'!$N$2:$N$503,'Weekly Purchases'!$B$2:$B$503,"&lt;&gt;",'Weekly Purchases'!$B$2:$B$503,"&lt;="&amp;$A493)-SUMIFS('Weekly Purchases'!$N$2:$N$503,'Weekly Purchases'!$B$2:$B$503,"",'Weekly Purchases'!$A$2:$A$503,"&lt;="&amp;$A493))</f>
        <v/>
      </c>
      <c r="M493" s="8" t="str">
        <f>IF($A493="","",Settings!$B$4+SUMIFS($C$2:$C$495,$A$2:$A$495,"&lt;="&amp;$A493)-SUMIFS($K$2:$K$495,$A$2:$A$495,"&lt;="&amp;$A493)-SUMIFS('Weekly Purchases'!$O$2:$O$503,'Weekly Purchases'!$B$2:$B$503,"&lt;&gt;",'Weekly Purchases'!$B$2:$B$503,"&lt;="&amp;$A493)-SUMIFS('Weekly Purchases'!$O$2:$O$503,'Weekly Purchases'!$B$2:$B$503,"",'Weekly Purchases'!$A$2:$A$503,"&lt;="&amp;$A493))</f>
        <v/>
      </c>
      <c r="N493" s="8" t="str">
        <f t="shared" si="30"/>
        <v/>
      </c>
      <c r="O493" s="8" t="str">
        <f t="shared" si="31"/>
        <v/>
      </c>
      <c r="P493" s="4"/>
    </row>
    <row r="494" spans="1:16">
      <c r="A494" s="6"/>
      <c r="B494" s="7"/>
      <c r="C494" s="7"/>
      <c r="D494" s="8" t="str">
        <f t="shared" si="28"/>
        <v/>
      </c>
      <c r="E494" s="7"/>
      <c r="F494" s="7"/>
      <c r="G494" s="7"/>
      <c r="H494" s="7"/>
      <c r="I494" s="8" t="str">
        <f t="shared" si="29"/>
        <v/>
      </c>
      <c r="J494" s="8"/>
      <c r="K494" s="8"/>
      <c r="L494" s="8" t="str">
        <f>IF($A494="","",Settings!$B$3+SUMIFS($B$2:$B$495,$A$2:$A$495,"&lt;="&amp;$A494)-SUMIFS($J$2:$J$495,$A$2:$A$495,"&lt;="&amp;$A494)-SUMIFS('Weekly Purchases'!$N$2:$N$503,'Weekly Purchases'!$B$2:$B$503,"&lt;&gt;",'Weekly Purchases'!$B$2:$B$503,"&lt;="&amp;$A494)-SUMIFS('Weekly Purchases'!$N$2:$N$503,'Weekly Purchases'!$B$2:$B$503,"",'Weekly Purchases'!$A$2:$A$503,"&lt;="&amp;$A494))</f>
        <v/>
      </c>
      <c r="M494" s="8" t="str">
        <f>IF($A494="","",Settings!$B$4+SUMIFS($C$2:$C$495,$A$2:$A$495,"&lt;="&amp;$A494)-SUMIFS($K$2:$K$495,$A$2:$A$495,"&lt;="&amp;$A494)-SUMIFS('Weekly Purchases'!$O$2:$O$503,'Weekly Purchases'!$B$2:$B$503,"&lt;&gt;",'Weekly Purchases'!$B$2:$B$503,"&lt;="&amp;$A494)-SUMIFS('Weekly Purchases'!$O$2:$O$503,'Weekly Purchases'!$B$2:$B$503,"",'Weekly Purchases'!$A$2:$A$503,"&lt;="&amp;$A494))</f>
        <v/>
      </c>
      <c r="N494" s="8" t="str">
        <f t="shared" si="30"/>
        <v/>
      </c>
      <c r="O494" s="8" t="str">
        <f t="shared" si="31"/>
        <v/>
      </c>
      <c r="P494" s="4"/>
    </row>
    <row r="495" spans="1:16">
      <c r="A495" s="6"/>
      <c r="B495" s="7"/>
      <c r="C495" s="7"/>
      <c r="D495" s="8" t="str">
        <f t="shared" si="28"/>
        <v/>
      </c>
      <c r="E495" s="7"/>
      <c r="F495" s="7"/>
      <c r="G495" s="7"/>
      <c r="H495" s="7"/>
      <c r="I495" s="8" t="str">
        <f t="shared" si="29"/>
        <v/>
      </c>
      <c r="J495" s="8"/>
      <c r="K495" s="8"/>
      <c r="L495" s="8" t="str">
        <f>IF($A495="","",Settings!$B$3+SUMIFS($B$2:$B$495,$A$2:$A$495,"&lt;="&amp;$A495)-SUMIFS($J$2:$J$495,$A$2:$A$495,"&lt;="&amp;$A495)-SUMIFS('Weekly Purchases'!$N$2:$N$503,'Weekly Purchases'!$B$2:$B$503,"&lt;&gt;",'Weekly Purchases'!$B$2:$B$503,"&lt;="&amp;$A495)-SUMIFS('Weekly Purchases'!$N$2:$N$503,'Weekly Purchases'!$B$2:$B$503,"",'Weekly Purchases'!$A$2:$A$503,"&lt;="&amp;$A495))</f>
        <v/>
      </c>
      <c r="M495" s="8" t="str">
        <f>IF($A495="","",Settings!$B$4+SUMIFS($C$2:$C$495,$A$2:$A$495,"&lt;="&amp;$A495)-SUMIFS($K$2:$K$495,$A$2:$A$495,"&lt;="&amp;$A495)-SUMIFS('Weekly Purchases'!$O$2:$O$503,'Weekly Purchases'!$B$2:$B$503,"&lt;&gt;",'Weekly Purchases'!$B$2:$B$503,"&lt;="&amp;$A495)-SUMIFS('Weekly Purchases'!$O$2:$O$503,'Weekly Purchases'!$B$2:$B$503,"",'Weekly Purchases'!$A$2:$A$503,"&lt;="&amp;$A495))</f>
        <v/>
      </c>
      <c r="N495" s="8" t="str">
        <f t="shared" si="30"/>
        <v/>
      </c>
      <c r="O495" s="8" t="str">
        <f t="shared" si="31"/>
        <v/>
      </c>
      <c r="P495" s="4"/>
    </row>
  </sheetData>
  <conditionalFormatting sqref="A2:P495">
    <cfRule type="expression" dxfId="1" priority="1">
      <formula>AND($A2&lt;&gt;"",SUM($J2:$K2)&lt;&gt;$I2)</formula>
    </cfRule>
  </conditionalFormatting>
  <conditionalFormatting sqref="L2:N495"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3"/>
  <sheetViews>
    <sheetView topLeftCell="F1" workbookViewId="0">
      <selection activeCell="K13" sqref="K13"/>
    </sheetView>
  </sheetViews>
  <sheetFormatPr defaultRowHeight="13.8"/>
  <cols>
    <col min="1" max="12" width="15" customWidth="1"/>
    <col min="13" max="13" width="20" customWidth="1"/>
    <col min="14" max="14" width="19" customWidth="1"/>
    <col min="15" max="16" width="18" customWidth="1"/>
  </cols>
  <sheetData>
    <row r="1" spans="1:21" ht="27.6">
      <c r="A1" s="5" t="s">
        <v>39</v>
      </c>
      <c r="B1" s="5" t="s">
        <v>40</v>
      </c>
      <c r="C1" s="5" t="str">
        <f>Settings!A7</f>
        <v>RawDawg</v>
      </c>
      <c r="D1" s="5" t="str">
        <f>Settings!A8</f>
        <v>Fetch</v>
      </c>
      <c r="E1" s="5" t="str">
        <f>Settings!A9</f>
        <v>Nord</v>
      </c>
      <c r="F1" s="5" t="str">
        <f>Settings!A10</f>
        <v>Belucci</v>
      </c>
      <c r="G1" s="5" t="str">
        <f>Settings!A11</f>
        <v>FoolHardy</v>
      </c>
      <c r="H1" s="5" t="str">
        <f>Settings!A12</f>
        <v>Core</v>
      </c>
      <c r="I1" s="5" t="str">
        <f>Settings!A13</f>
        <v>Dexer</v>
      </c>
      <c r="J1" s="5" t="str">
        <f>Settings!A14</f>
        <v>Nordich</v>
      </c>
      <c r="K1" s="5" t="str">
        <f>Settings!A15</f>
        <v>Never</v>
      </c>
      <c r="L1" s="5" t="str">
        <f>Settings!A16</f>
        <v>Ozaro</v>
      </c>
      <c r="M1" s="5" t="s">
        <v>41</v>
      </c>
      <c r="N1" s="5" t="s">
        <v>42</v>
      </c>
      <c r="O1" s="5" t="s">
        <v>43</v>
      </c>
      <c r="P1" s="5" t="s">
        <v>44</v>
      </c>
      <c r="Q1" s="10"/>
      <c r="R1" s="10"/>
      <c r="S1" s="10"/>
      <c r="T1" s="10"/>
      <c r="U1" s="10"/>
    </row>
    <row r="2" spans="1:21">
      <c r="A2" s="17">
        <v>46289</v>
      </c>
      <c r="B2" s="17">
        <v>46289</v>
      </c>
      <c r="C2" s="18">
        <v>64049</v>
      </c>
      <c r="D2" s="18">
        <v>95077</v>
      </c>
      <c r="E2" s="18">
        <v>0</v>
      </c>
      <c r="F2" s="18">
        <v>26500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8200</v>
      </c>
      <c r="M2" s="15">
        <f t="shared" ref="M2:N65" si="0">IF($A2="","",SUM($C2:$L2))</f>
        <v>193826</v>
      </c>
      <c r="N2" s="15">
        <f t="shared" ref="N2:N65" si="1">IF($A2="","",SUM($C2:$L2))</f>
        <v>193826</v>
      </c>
      <c r="O2" s="18">
        <v>0</v>
      </c>
      <c r="P2" s="15">
        <f t="shared" ref="P2:P65" si="2">IF($A2="","",$M2-$N2-$O2)</f>
        <v>0</v>
      </c>
      <c r="Q2" s="10"/>
      <c r="R2" s="10"/>
      <c r="S2" s="10"/>
      <c r="T2" s="10"/>
      <c r="U2" s="10"/>
    </row>
    <row r="3" spans="1:21">
      <c r="A3" s="17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5" t="str">
        <f t="shared" si="0"/>
        <v/>
      </c>
      <c r="N3" s="18" t="str">
        <f t="shared" si="1"/>
        <v/>
      </c>
      <c r="O3" s="18"/>
      <c r="P3" s="15" t="str">
        <f t="shared" si="2"/>
        <v/>
      </c>
      <c r="Q3" s="10"/>
      <c r="R3" s="10"/>
      <c r="S3" s="10"/>
      <c r="T3" s="10"/>
      <c r="U3" s="10"/>
    </row>
    <row r="4" spans="1:21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5" t="str">
        <f t="shared" si="0"/>
        <v/>
      </c>
      <c r="N4" s="18" t="str">
        <f t="shared" si="1"/>
        <v/>
      </c>
      <c r="O4" s="18"/>
      <c r="P4" s="15" t="str">
        <f t="shared" si="2"/>
        <v/>
      </c>
      <c r="Q4" s="10"/>
      <c r="R4" s="10"/>
      <c r="S4" s="10"/>
      <c r="T4" s="10"/>
      <c r="U4" s="10"/>
    </row>
    <row r="5" spans="1:21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5" t="str">
        <f t="shared" si="0"/>
        <v/>
      </c>
      <c r="N5" s="18" t="str">
        <f t="shared" si="1"/>
        <v/>
      </c>
      <c r="O5" s="18"/>
      <c r="P5" s="15" t="str">
        <f t="shared" si="2"/>
        <v/>
      </c>
      <c r="Q5" s="10"/>
      <c r="R5" s="10"/>
      <c r="S5" s="10"/>
      <c r="T5" s="10"/>
      <c r="U5" s="10"/>
    </row>
    <row r="6" spans="1:21">
      <c r="A6" s="17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5" t="str">
        <f t="shared" si="0"/>
        <v/>
      </c>
      <c r="N6" s="18" t="str">
        <f t="shared" si="1"/>
        <v/>
      </c>
      <c r="O6" s="18"/>
      <c r="P6" s="15" t="str">
        <f t="shared" si="2"/>
        <v/>
      </c>
      <c r="Q6" s="10"/>
      <c r="R6" s="10"/>
      <c r="S6" s="10"/>
      <c r="T6" s="10"/>
      <c r="U6" s="10"/>
    </row>
    <row r="7" spans="1:2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5" t="str">
        <f t="shared" si="0"/>
        <v/>
      </c>
      <c r="N7" s="18" t="str">
        <f t="shared" si="1"/>
        <v/>
      </c>
      <c r="O7" s="18"/>
      <c r="P7" s="15" t="str">
        <f t="shared" si="2"/>
        <v/>
      </c>
      <c r="Q7" s="10"/>
      <c r="R7" s="10"/>
      <c r="S7" s="10"/>
      <c r="T7" s="10"/>
      <c r="U7" s="10"/>
    </row>
    <row r="8" spans="1:21">
      <c r="A8" s="17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5" t="str">
        <f t="shared" si="0"/>
        <v/>
      </c>
      <c r="N8" s="18" t="str">
        <f t="shared" si="1"/>
        <v/>
      </c>
      <c r="O8" s="18"/>
      <c r="P8" s="15" t="str">
        <f t="shared" si="2"/>
        <v/>
      </c>
      <c r="Q8" s="10"/>
      <c r="R8" s="10"/>
      <c r="S8" s="10"/>
      <c r="T8" s="10"/>
      <c r="U8" s="10"/>
    </row>
    <row r="9" spans="1:21">
      <c r="A9" s="17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5" t="str">
        <f t="shared" si="0"/>
        <v/>
      </c>
      <c r="N9" s="18" t="str">
        <f t="shared" si="1"/>
        <v/>
      </c>
      <c r="O9" s="18"/>
      <c r="P9" s="15" t="str">
        <f t="shared" si="2"/>
        <v/>
      </c>
      <c r="Q9" s="10"/>
      <c r="R9" s="10"/>
      <c r="S9" s="10"/>
      <c r="T9" s="10"/>
      <c r="U9" s="10"/>
    </row>
    <row r="10" spans="1:21">
      <c r="A10" s="17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5" t="str">
        <f t="shared" si="0"/>
        <v/>
      </c>
      <c r="N10" s="18" t="str">
        <f t="shared" si="1"/>
        <v/>
      </c>
      <c r="O10" s="18"/>
      <c r="P10" s="15" t="str">
        <f t="shared" si="2"/>
        <v/>
      </c>
      <c r="Q10" s="10"/>
      <c r="R10" s="10"/>
      <c r="S10" s="10"/>
      <c r="T10" s="10"/>
      <c r="U10" s="10"/>
    </row>
    <row r="11" spans="1:21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 t="str">
        <f t="shared" si="0"/>
        <v/>
      </c>
      <c r="N11" s="18" t="str">
        <f t="shared" si="1"/>
        <v/>
      </c>
      <c r="O11" s="18"/>
      <c r="P11" s="15" t="str">
        <f t="shared" si="2"/>
        <v/>
      </c>
      <c r="Q11" s="10"/>
      <c r="R11" s="10"/>
      <c r="S11" s="10"/>
      <c r="T11" s="10"/>
      <c r="U11" s="10"/>
    </row>
    <row r="12" spans="1:21">
      <c r="A12" s="17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5" t="str">
        <f t="shared" si="0"/>
        <v/>
      </c>
      <c r="N12" s="18" t="str">
        <f t="shared" si="1"/>
        <v/>
      </c>
      <c r="O12" s="18"/>
      <c r="P12" s="15" t="str">
        <f t="shared" si="2"/>
        <v/>
      </c>
      <c r="Q12" s="10"/>
      <c r="R12" s="10"/>
      <c r="S12" s="10"/>
      <c r="T12" s="10"/>
      <c r="U12" s="10"/>
    </row>
    <row r="13" spans="1:21">
      <c r="A13" s="17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5" t="str">
        <f t="shared" si="0"/>
        <v/>
      </c>
      <c r="N13" s="18" t="str">
        <f t="shared" si="1"/>
        <v/>
      </c>
      <c r="O13" s="18"/>
      <c r="P13" s="15" t="str">
        <f t="shared" si="2"/>
        <v/>
      </c>
      <c r="Q13" s="10"/>
      <c r="R13" s="10"/>
      <c r="S13" s="10"/>
      <c r="T13" s="10"/>
      <c r="U13" s="10"/>
    </row>
    <row r="14" spans="1:21">
      <c r="A14" s="17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5" t="str">
        <f t="shared" si="0"/>
        <v/>
      </c>
      <c r="N14" s="18" t="str">
        <f t="shared" si="1"/>
        <v/>
      </c>
      <c r="O14" s="18"/>
      <c r="P14" s="15" t="str">
        <f t="shared" si="2"/>
        <v/>
      </c>
      <c r="Q14" s="10"/>
      <c r="R14" s="10"/>
      <c r="S14" s="10"/>
      <c r="T14" s="10"/>
      <c r="U14" s="10"/>
    </row>
    <row r="15" spans="1:21">
      <c r="A15" s="17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5" t="str">
        <f t="shared" si="0"/>
        <v/>
      </c>
      <c r="N15" s="18" t="str">
        <f t="shared" si="1"/>
        <v/>
      </c>
      <c r="O15" s="18"/>
      <c r="P15" s="15" t="str">
        <f t="shared" si="2"/>
        <v/>
      </c>
      <c r="Q15" s="10"/>
      <c r="R15" s="10"/>
      <c r="S15" s="10"/>
      <c r="T15" s="10"/>
      <c r="U15" s="10"/>
    </row>
    <row r="16" spans="1:21">
      <c r="A16" s="17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5" t="str">
        <f t="shared" si="0"/>
        <v/>
      </c>
      <c r="N16" s="18" t="str">
        <f t="shared" si="1"/>
        <v/>
      </c>
      <c r="O16" s="18"/>
      <c r="P16" s="15" t="str">
        <f t="shared" si="2"/>
        <v/>
      </c>
      <c r="Q16" s="10"/>
      <c r="R16" s="10"/>
      <c r="S16" s="10"/>
      <c r="T16" s="10"/>
      <c r="U16" s="10"/>
    </row>
    <row r="17" spans="1:21">
      <c r="A17" s="17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5" t="str">
        <f t="shared" si="0"/>
        <v/>
      </c>
      <c r="N17" s="18" t="str">
        <f t="shared" si="1"/>
        <v/>
      </c>
      <c r="O17" s="18"/>
      <c r="P17" s="15" t="str">
        <f t="shared" si="2"/>
        <v/>
      </c>
      <c r="Q17" s="10"/>
      <c r="R17" s="10"/>
      <c r="S17" s="10"/>
      <c r="T17" s="10"/>
      <c r="U17" s="10"/>
    </row>
    <row r="18" spans="1:21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5" t="str">
        <f t="shared" si="0"/>
        <v/>
      </c>
      <c r="N18" s="18" t="str">
        <f t="shared" si="1"/>
        <v/>
      </c>
      <c r="O18" s="18"/>
      <c r="P18" s="15" t="str">
        <f t="shared" si="2"/>
        <v/>
      </c>
      <c r="Q18" s="10"/>
      <c r="R18" s="10"/>
      <c r="S18" s="10"/>
      <c r="T18" s="10"/>
      <c r="U18" s="10"/>
    </row>
    <row r="19" spans="1:21">
      <c r="A19" s="1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5" t="str">
        <f t="shared" si="0"/>
        <v/>
      </c>
      <c r="N19" s="18" t="str">
        <f t="shared" si="1"/>
        <v/>
      </c>
      <c r="O19" s="18"/>
      <c r="P19" s="15" t="str">
        <f t="shared" si="2"/>
        <v/>
      </c>
      <c r="Q19" s="10"/>
      <c r="R19" s="10"/>
      <c r="S19" s="10"/>
      <c r="T19" s="10"/>
      <c r="U19" s="10"/>
    </row>
    <row r="20" spans="1:21">
      <c r="A20" s="1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5" t="str">
        <f t="shared" si="0"/>
        <v/>
      </c>
      <c r="N20" s="18" t="str">
        <f t="shared" si="1"/>
        <v/>
      </c>
      <c r="O20" s="18"/>
      <c r="P20" s="15" t="str">
        <f t="shared" si="2"/>
        <v/>
      </c>
      <c r="Q20" s="10"/>
      <c r="R20" s="10"/>
      <c r="S20" s="10"/>
      <c r="T20" s="10"/>
      <c r="U20" s="10"/>
    </row>
    <row r="21" spans="1:21">
      <c r="A21" s="1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5" t="str">
        <f t="shared" si="0"/>
        <v/>
      </c>
      <c r="N21" s="18" t="str">
        <f t="shared" si="1"/>
        <v/>
      </c>
      <c r="O21" s="18"/>
      <c r="P21" s="15" t="str">
        <f t="shared" si="2"/>
        <v/>
      </c>
      <c r="Q21" s="10"/>
      <c r="R21" s="10"/>
      <c r="S21" s="10"/>
      <c r="T21" s="10"/>
      <c r="U21" s="10"/>
    </row>
    <row r="22" spans="1:21">
      <c r="A22" s="17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5" t="str">
        <f t="shared" si="0"/>
        <v/>
      </c>
      <c r="N22" s="18" t="str">
        <f t="shared" si="1"/>
        <v/>
      </c>
      <c r="O22" s="18"/>
      <c r="P22" s="15" t="str">
        <f t="shared" si="2"/>
        <v/>
      </c>
      <c r="Q22" s="10"/>
      <c r="R22" s="10"/>
      <c r="S22" s="10"/>
      <c r="T22" s="10"/>
      <c r="U22" s="10"/>
    </row>
    <row r="23" spans="1:21">
      <c r="A23" s="17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5" t="str">
        <f t="shared" si="0"/>
        <v/>
      </c>
      <c r="N23" s="18" t="str">
        <f t="shared" si="1"/>
        <v/>
      </c>
      <c r="O23" s="18"/>
      <c r="P23" s="15" t="str">
        <f t="shared" si="2"/>
        <v/>
      </c>
      <c r="Q23" s="10"/>
      <c r="R23" s="10"/>
      <c r="S23" s="10"/>
      <c r="T23" s="10"/>
      <c r="U23" s="10"/>
    </row>
    <row r="24" spans="1:21">
      <c r="A24" s="17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5" t="str">
        <f t="shared" si="0"/>
        <v/>
      </c>
      <c r="N24" s="18" t="str">
        <f t="shared" si="1"/>
        <v/>
      </c>
      <c r="O24" s="18"/>
      <c r="P24" s="15" t="str">
        <f t="shared" si="2"/>
        <v/>
      </c>
      <c r="Q24" s="10"/>
      <c r="R24" s="10"/>
      <c r="S24" s="10"/>
      <c r="T24" s="10"/>
      <c r="U24" s="10"/>
    </row>
    <row r="25" spans="1:21">
      <c r="A25" s="17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5" t="str">
        <f t="shared" si="0"/>
        <v/>
      </c>
      <c r="N25" s="18" t="str">
        <f t="shared" si="1"/>
        <v/>
      </c>
      <c r="O25" s="18"/>
      <c r="P25" s="15" t="str">
        <f t="shared" si="2"/>
        <v/>
      </c>
      <c r="Q25" s="10"/>
      <c r="R25" s="10"/>
      <c r="S25" s="10"/>
      <c r="T25" s="10"/>
      <c r="U25" s="10"/>
    </row>
    <row r="26" spans="1:21">
      <c r="A26" s="17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5" t="str">
        <f t="shared" si="0"/>
        <v/>
      </c>
      <c r="N26" s="18" t="str">
        <f t="shared" si="1"/>
        <v/>
      </c>
      <c r="O26" s="18"/>
      <c r="P26" s="15" t="str">
        <f t="shared" si="2"/>
        <v/>
      </c>
      <c r="Q26" s="10"/>
      <c r="R26" s="10"/>
      <c r="S26" s="10"/>
      <c r="T26" s="10"/>
      <c r="U26" s="10"/>
    </row>
    <row r="27" spans="1:21">
      <c r="A27" s="17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5" t="str">
        <f t="shared" si="0"/>
        <v/>
      </c>
      <c r="N27" s="18" t="str">
        <f t="shared" si="1"/>
        <v/>
      </c>
      <c r="O27" s="18"/>
      <c r="P27" s="15" t="str">
        <f t="shared" si="2"/>
        <v/>
      </c>
      <c r="Q27" s="10"/>
      <c r="R27" s="10"/>
      <c r="S27" s="10"/>
      <c r="T27" s="10"/>
      <c r="U27" s="10"/>
    </row>
    <row r="28" spans="1:21">
      <c r="A28" s="17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5" t="str">
        <f t="shared" si="0"/>
        <v/>
      </c>
      <c r="N28" s="18" t="str">
        <f t="shared" si="1"/>
        <v/>
      </c>
      <c r="O28" s="18"/>
      <c r="P28" s="15" t="str">
        <f t="shared" si="2"/>
        <v/>
      </c>
      <c r="Q28" s="10"/>
      <c r="R28" s="10"/>
      <c r="S28" s="10"/>
      <c r="T28" s="10"/>
      <c r="U28" s="10"/>
    </row>
    <row r="29" spans="1:21">
      <c r="A29" s="1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5" t="str">
        <f t="shared" si="0"/>
        <v/>
      </c>
      <c r="N29" s="18" t="str">
        <f t="shared" si="1"/>
        <v/>
      </c>
      <c r="O29" s="18"/>
      <c r="P29" s="15" t="str">
        <f t="shared" si="2"/>
        <v/>
      </c>
      <c r="Q29" s="10"/>
      <c r="R29" s="10"/>
      <c r="S29" s="10"/>
      <c r="T29" s="10"/>
      <c r="U29" s="10"/>
    </row>
    <row r="30" spans="1:21">
      <c r="A30" s="17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5" t="str">
        <f t="shared" si="0"/>
        <v/>
      </c>
      <c r="N30" s="18" t="str">
        <f t="shared" si="1"/>
        <v/>
      </c>
      <c r="O30" s="18"/>
      <c r="P30" s="15" t="str">
        <f t="shared" si="2"/>
        <v/>
      </c>
      <c r="Q30" s="10"/>
      <c r="R30" s="10"/>
      <c r="S30" s="10"/>
      <c r="T30" s="10"/>
      <c r="U30" s="10"/>
    </row>
    <row r="31" spans="1:21">
      <c r="A31" s="17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5" t="str">
        <f t="shared" si="0"/>
        <v/>
      </c>
      <c r="N31" s="18" t="str">
        <f t="shared" si="1"/>
        <v/>
      </c>
      <c r="O31" s="18"/>
      <c r="P31" s="15" t="str">
        <f t="shared" si="2"/>
        <v/>
      </c>
      <c r="Q31" s="10"/>
      <c r="R31" s="10"/>
      <c r="S31" s="10"/>
      <c r="T31" s="10"/>
      <c r="U31" s="10"/>
    </row>
    <row r="32" spans="1:21">
      <c r="A32" s="1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5" t="str">
        <f t="shared" si="0"/>
        <v/>
      </c>
      <c r="N32" s="18" t="str">
        <f t="shared" si="1"/>
        <v/>
      </c>
      <c r="O32" s="18"/>
      <c r="P32" s="15" t="str">
        <f t="shared" si="2"/>
        <v/>
      </c>
      <c r="Q32" s="10"/>
      <c r="R32" s="10"/>
      <c r="S32" s="10"/>
      <c r="T32" s="10"/>
      <c r="U32" s="10"/>
    </row>
    <row r="33" spans="1:21">
      <c r="A33" s="17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5" t="str">
        <f t="shared" si="0"/>
        <v/>
      </c>
      <c r="N33" s="18" t="str">
        <f t="shared" si="1"/>
        <v/>
      </c>
      <c r="O33" s="18"/>
      <c r="P33" s="15" t="str">
        <f t="shared" si="2"/>
        <v/>
      </c>
      <c r="Q33" s="10"/>
      <c r="R33" s="10"/>
      <c r="S33" s="10"/>
      <c r="T33" s="10"/>
      <c r="U33" s="10"/>
    </row>
    <row r="34" spans="1:21">
      <c r="A34" s="17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5" t="str">
        <f t="shared" si="0"/>
        <v/>
      </c>
      <c r="N34" s="18" t="str">
        <f t="shared" si="1"/>
        <v/>
      </c>
      <c r="O34" s="18"/>
      <c r="P34" s="15" t="str">
        <f t="shared" si="2"/>
        <v/>
      </c>
      <c r="Q34" s="10"/>
      <c r="R34" s="10"/>
      <c r="S34" s="10"/>
      <c r="T34" s="10"/>
      <c r="U34" s="10"/>
    </row>
    <row r="35" spans="1:21">
      <c r="A35" s="17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5" t="str">
        <f t="shared" si="0"/>
        <v/>
      </c>
      <c r="N35" s="18" t="str">
        <f t="shared" si="1"/>
        <v/>
      </c>
      <c r="O35" s="18"/>
      <c r="P35" s="15" t="str">
        <f t="shared" si="2"/>
        <v/>
      </c>
      <c r="Q35" s="10"/>
      <c r="R35" s="10"/>
      <c r="S35" s="10"/>
      <c r="T35" s="10"/>
      <c r="U35" s="10"/>
    </row>
    <row r="36" spans="1:21">
      <c r="A36" s="17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5" t="str">
        <f t="shared" si="0"/>
        <v/>
      </c>
      <c r="N36" s="18" t="str">
        <f t="shared" si="1"/>
        <v/>
      </c>
      <c r="O36" s="18"/>
      <c r="P36" s="15" t="str">
        <f t="shared" si="2"/>
        <v/>
      </c>
      <c r="Q36" s="10"/>
      <c r="R36" s="10"/>
      <c r="S36" s="10"/>
      <c r="T36" s="10"/>
      <c r="U36" s="10"/>
    </row>
    <row r="37" spans="1:21">
      <c r="A37" s="17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5" t="str">
        <f t="shared" si="0"/>
        <v/>
      </c>
      <c r="N37" s="18" t="str">
        <f t="shared" si="1"/>
        <v/>
      </c>
      <c r="O37" s="18"/>
      <c r="P37" s="15" t="str">
        <f t="shared" si="2"/>
        <v/>
      </c>
      <c r="Q37" s="10"/>
      <c r="R37" s="10"/>
      <c r="S37" s="10"/>
      <c r="T37" s="10"/>
      <c r="U37" s="10"/>
    </row>
    <row r="38" spans="1:21">
      <c r="A38" s="17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5" t="str">
        <f t="shared" si="0"/>
        <v/>
      </c>
      <c r="N38" s="18" t="str">
        <f t="shared" si="1"/>
        <v/>
      </c>
      <c r="O38" s="18"/>
      <c r="P38" s="15" t="str">
        <f t="shared" si="2"/>
        <v/>
      </c>
      <c r="Q38" s="10"/>
      <c r="R38" s="10"/>
      <c r="S38" s="10"/>
      <c r="T38" s="10"/>
      <c r="U38" s="10"/>
    </row>
    <row r="39" spans="1:21">
      <c r="A39" s="17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5" t="str">
        <f t="shared" si="0"/>
        <v/>
      </c>
      <c r="N39" s="18" t="str">
        <f t="shared" si="1"/>
        <v/>
      </c>
      <c r="O39" s="18"/>
      <c r="P39" s="15" t="str">
        <f t="shared" si="2"/>
        <v/>
      </c>
      <c r="Q39" s="10"/>
      <c r="R39" s="10"/>
      <c r="S39" s="10"/>
      <c r="T39" s="10"/>
      <c r="U39" s="10"/>
    </row>
    <row r="40" spans="1:21">
      <c r="A40" s="17"/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5" t="str">
        <f t="shared" si="0"/>
        <v/>
      </c>
      <c r="N40" s="18" t="str">
        <f t="shared" si="1"/>
        <v/>
      </c>
      <c r="O40" s="18"/>
      <c r="P40" s="15" t="str">
        <f t="shared" si="2"/>
        <v/>
      </c>
      <c r="Q40" s="10"/>
      <c r="R40" s="10"/>
      <c r="S40" s="10"/>
      <c r="T40" s="10"/>
      <c r="U40" s="10"/>
    </row>
    <row r="41" spans="1:21">
      <c r="A41" s="17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5" t="str">
        <f t="shared" si="0"/>
        <v/>
      </c>
      <c r="N41" s="18" t="str">
        <f t="shared" si="1"/>
        <v/>
      </c>
      <c r="O41" s="18"/>
      <c r="P41" s="15" t="str">
        <f t="shared" si="2"/>
        <v/>
      </c>
      <c r="Q41" s="10"/>
      <c r="R41" s="10"/>
      <c r="S41" s="10"/>
      <c r="T41" s="10"/>
      <c r="U41" s="10"/>
    </row>
    <row r="42" spans="1:21">
      <c r="A42" s="17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5" t="str">
        <f t="shared" si="0"/>
        <v/>
      </c>
      <c r="N42" s="18" t="str">
        <f t="shared" si="1"/>
        <v/>
      </c>
      <c r="O42" s="18"/>
      <c r="P42" s="15" t="str">
        <f t="shared" si="2"/>
        <v/>
      </c>
      <c r="Q42" s="10"/>
      <c r="R42" s="10"/>
      <c r="S42" s="10"/>
      <c r="T42" s="10"/>
      <c r="U42" s="10"/>
    </row>
    <row r="43" spans="1:21">
      <c r="A43" s="17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5" t="str">
        <f t="shared" si="0"/>
        <v/>
      </c>
      <c r="N43" s="18" t="str">
        <f t="shared" si="1"/>
        <v/>
      </c>
      <c r="O43" s="18"/>
      <c r="P43" s="15" t="str">
        <f t="shared" si="2"/>
        <v/>
      </c>
      <c r="Q43" s="10"/>
      <c r="R43" s="10"/>
      <c r="S43" s="10"/>
      <c r="T43" s="10"/>
      <c r="U43" s="10"/>
    </row>
    <row r="44" spans="1:21">
      <c r="A44" s="17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5" t="str">
        <f t="shared" si="0"/>
        <v/>
      </c>
      <c r="N44" s="18" t="str">
        <f t="shared" si="1"/>
        <v/>
      </c>
      <c r="O44" s="18"/>
      <c r="P44" s="15" t="str">
        <f t="shared" si="2"/>
        <v/>
      </c>
      <c r="Q44" s="10"/>
      <c r="R44" s="10"/>
      <c r="S44" s="10"/>
      <c r="T44" s="10"/>
      <c r="U44" s="10"/>
    </row>
    <row r="45" spans="1:21">
      <c r="A45" s="17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5" t="str">
        <f t="shared" si="0"/>
        <v/>
      </c>
      <c r="N45" s="18" t="str">
        <f t="shared" si="1"/>
        <v/>
      </c>
      <c r="O45" s="18"/>
      <c r="P45" s="15" t="str">
        <f t="shared" si="2"/>
        <v/>
      </c>
      <c r="Q45" s="10"/>
      <c r="R45" s="10"/>
      <c r="S45" s="10"/>
      <c r="T45" s="10"/>
      <c r="U45" s="10"/>
    </row>
    <row r="46" spans="1:21">
      <c r="A46" s="17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5" t="str">
        <f t="shared" si="0"/>
        <v/>
      </c>
      <c r="N46" s="18" t="str">
        <f t="shared" si="1"/>
        <v/>
      </c>
      <c r="O46" s="18"/>
      <c r="P46" s="15" t="str">
        <f t="shared" si="2"/>
        <v/>
      </c>
      <c r="Q46" s="10"/>
      <c r="R46" s="10"/>
      <c r="S46" s="10"/>
      <c r="T46" s="10"/>
      <c r="U46" s="10"/>
    </row>
    <row r="47" spans="1:21">
      <c r="A47" s="17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5" t="str">
        <f t="shared" si="0"/>
        <v/>
      </c>
      <c r="N47" s="18" t="str">
        <f t="shared" si="1"/>
        <v/>
      </c>
      <c r="O47" s="18"/>
      <c r="P47" s="15" t="str">
        <f t="shared" si="2"/>
        <v/>
      </c>
      <c r="Q47" s="10"/>
      <c r="R47" s="10"/>
      <c r="S47" s="10"/>
      <c r="T47" s="10"/>
      <c r="U47" s="10"/>
    </row>
    <row r="48" spans="1:21">
      <c r="A48" s="17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5" t="str">
        <f t="shared" si="0"/>
        <v/>
      </c>
      <c r="N48" s="18" t="str">
        <f t="shared" si="1"/>
        <v/>
      </c>
      <c r="O48" s="18"/>
      <c r="P48" s="15" t="str">
        <f t="shared" si="2"/>
        <v/>
      </c>
      <c r="Q48" s="10"/>
      <c r="R48" s="10"/>
      <c r="S48" s="10"/>
      <c r="T48" s="10"/>
      <c r="U48" s="10"/>
    </row>
    <row r="49" spans="1:21">
      <c r="A49" s="17"/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5" t="str">
        <f t="shared" si="0"/>
        <v/>
      </c>
      <c r="N49" s="18" t="str">
        <f t="shared" si="1"/>
        <v/>
      </c>
      <c r="O49" s="18"/>
      <c r="P49" s="15" t="str">
        <f t="shared" si="2"/>
        <v/>
      </c>
      <c r="Q49" s="10"/>
      <c r="R49" s="10"/>
      <c r="S49" s="10"/>
      <c r="T49" s="10"/>
      <c r="U49" s="10"/>
    </row>
    <row r="50" spans="1:21">
      <c r="A50" s="17"/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5" t="str">
        <f t="shared" si="0"/>
        <v/>
      </c>
      <c r="N50" s="18" t="str">
        <f t="shared" si="1"/>
        <v/>
      </c>
      <c r="O50" s="18"/>
      <c r="P50" s="15" t="str">
        <f t="shared" si="2"/>
        <v/>
      </c>
      <c r="Q50" s="10"/>
      <c r="R50" s="10"/>
      <c r="S50" s="10"/>
      <c r="T50" s="10"/>
      <c r="U50" s="10"/>
    </row>
    <row r="51" spans="1:21">
      <c r="A51" s="17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5" t="str">
        <f t="shared" si="0"/>
        <v/>
      </c>
      <c r="N51" s="18" t="str">
        <f t="shared" si="1"/>
        <v/>
      </c>
      <c r="O51" s="18"/>
      <c r="P51" s="15" t="str">
        <f t="shared" si="2"/>
        <v/>
      </c>
      <c r="Q51" s="10"/>
      <c r="R51" s="10"/>
      <c r="S51" s="10"/>
      <c r="T51" s="10"/>
      <c r="U51" s="10"/>
    </row>
    <row r="52" spans="1:21">
      <c r="A52" s="17"/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5" t="str">
        <f t="shared" si="0"/>
        <v/>
      </c>
      <c r="N52" s="18" t="str">
        <f t="shared" si="1"/>
        <v/>
      </c>
      <c r="O52" s="18"/>
      <c r="P52" s="15" t="str">
        <f t="shared" si="2"/>
        <v/>
      </c>
      <c r="Q52" s="10"/>
      <c r="R52" s="10"/>
      <c r="S52" s="10"/>
      <c r="T52" s="10"/>
      <c r="U52" s="10"/>
    </row>
    <row r="53" spans="1:21">
      <c r="A53" s="17"/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5" t="str">
        <f t="shared" si="0"/>
        <v/>
      </c>
      <c r="N53" s="18" t="str">
        <f t="shared" si="1"/>
        <v/>
      </c>
      <c r="O53" s="18"/>
      <c r="P53" s="15" t="str">
        <f t="shared" si="2"/>
        <v/>
      </c>
      <c r="Q53" s="10"/>
      <c r="R53" s="10"/>
      <c r="S53" s="10"/>
      <c r="T53" s="10"/>
      <c r="U53" s="10"/>
    </row>
    <row r="54" spans="1:21">
      <c r="A54" s="17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5" t="str">
        <f t="shared" si="0"/>
        <v/>
      </c>
      <c r="N54" s="18" t="str">
        <f t="shared" si="1"/>
        <v/>
      </c>
      <c r="O54" s="18"/>
      <c r="P54" s="15" t="str">
        <f t="shared" si="2"/>
        <v/>
      </c>
      <c r="Q54" s="10"/>
      <c r="R54" s="10"/>
      <c r="S54" s="10"/>
      <c r="T54" s="10"/>
      <c r="U54" s="10"/>
    </row>
    <row r="55" spans="1:21">
      <c r="A55" s="17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5" t="str">
        <f t="shared" si="0"/>
        <v/>
      </c>
      <c r="N55" s="18" t="str">
        <f t="shared" si="1"/>
        <v/>
      </c>
      <c r="O55" s="18"/>
      <c r="P55" s="15" t="str">
        <f t="shared" si="2"/>
        <v/>
      </c>
      <c r="Q55" s="10"/>
      <c r="R55" s="10"/>
      <c r="S55" s="10"/>
      <c r="T55" s="10"/>
      <c r="U55" s="10"/>
    </row>
    <row r="56" spans="1:21">
      <c r="A56" s="17"/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5" t="str">
        <f t="shared" si="0"/>
        <v/>
      </c>
      <c r="N56" s="18" t="str">
        <f t="shared" si="1"/>
        <v/>
      </c>
      <c r="O56" s="18"/>
      <c r="P56" s="15" t="str">
        <f t="shared" si="2"/>
        <v/>
      </c>
      <c r="Q56" s="10"/>
      <c r="R56" s="10"/>
      <c r="S56" s="10"/>
      <c r="T56" s="10"/>
      <c r="U56" s="10"/>
    </row>
    <row r="57" spans="1:21">
      <c r="A57" s="17"/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5" t="str">
        <f t="shared" si="0"/>
        <v/>
      </c>
      <c r="N57" s="18" t="str">
        <f t="shared" si="1"/>
        <v/>
      </c>
      <c r="O57" s="18"/>
      <c r="P57" s="15" t="str">
        <f t="shared" si="2"/>
        <v/>
      </c>
      <c r="Q57" s="10"/>
      <c r="R57" s="10"/>
      <c r="S57" s="10"/>
      <c r="T57" s="10"/>
      <c r="U57" s="10"/>
    </row>
    <row r="58" spans="1:21">
      <c r="A58" s="17"/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5" t="str">
        <f t="shared" si="0"/>
        <v/>
      </c>
      <c r="N58" s="18" t="str">
        <f t="shared" si="1"/>
        <v/>
      </c>
      <c r="O58" s="18"/>
      <c r="P58" s="15" t="str">
        <f t="shared" si="2"/>
        <v/>
      </c>
      <c r="Q58" s="10"/>
      <c r="R58" s="10"/>
      <c r="S58" s="10"/>
      <c r="T58" s="10"/>
      <c r="U58" s="10"/>
    </row>
    <row r="59" spans="1:21">
      <c r="A59" s="17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5" t="str">
        <f t="shared" si="0"/>
        <v/>
      </c>
      <c r="N59" s="18" t="str">
        <f t="shared" si="1"/>
        <v/>
      </c>
      <c r="O59" s="18"/>
      <c r="P59" s="15" t="str">
        <f t="shared" si="2"/>
        <v/>
      </c>
      <c r="Q59" s="10"/>
      <c r="R59" s="10"/>
      <c r="S59" s="10"/>
      <c r="T59" s="10"/>
      <c r="U59" s="10"/>
    </row>
    <row r="60" spans="1:21">
      <c r="A60" s="17"/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5" t="str">
        <f t="shared" si="0"/>
        <v/>
      </c>
      <c r="N60" s="18" t="str">
        <f t="shared" si="1"/>
        <v/>
      </c>
      <c r="O60" s="18"/>
      <c r="P60" s="15" t="str">
        <f t="shared" si="2"/>
        <v/>
      </c>
      <c r="Q60" s="10"/>
      <c r="R60" s="10"/>
      <c r="S60" s="10"/>
      <c r="T60" s="10"/>
      <c r="U60" s="10"/>
    </row>
    <row r="61" spans="1:21">
      <c r="A61" s="17"/>
      <c r="B61" s="1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5" t="str">
        <f t="shared" si="0"/>
        <v/>
      </c>
      <c r="N61" s="18" t="str">
        <f t="shared" si="1"/>
        <v/>
      </c>
      <c r="O61" s="18"/>
      <c r="P61" s="15" t="str">
        <f t="shared" si="2"/>
        <v/>
      </c>
      <c r="Q61" s="10"/>
      <c r="R61" s="10"/>
      <c r="S61" s="10"/>
      <c r="T61" s="10"/>
      <c r="U61" s="10"/>
    </row>
    <row r="62" spans="1:21">
      <c r="A62" s="17"/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5" t="str">
        <f t="shared" si="0"/>
        <v/>
      </c>
      <c r="N62" s="18" t="str">
        <f t="shared" si="1"/>
        <v/>
      </c>
      <c r="O62" s="18"/>
      <c r="P62" s="15" t="str">
        <f t="shared" si="2"/>
        <v/>
      </c>
      <c r="Q62" s="10"/>
      <c r="R62" s="10"/>
      <c r="S62" s="10"/>
      <c r="T62" s="10"/>
      <c r="U62" s="10"/>
    </row>
    <row r="63" spans="1:21">
      <c r="A63" s="17"/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5" t="str">
        <f t="shared" si="0"/>
        <v/>
      </c>
      <c r="N63" s="18" t="str">
        <f t="shared" si="1"/>
        <v/>
      </c>
      <c r="O63" s="18"/>
      <c r="P63" s="15" t="str">
        <f t="shared" si="2"/>
        <v/>
      </c>
      <c r="Q63" s="10"/>
      <c r="R63" s="10"/>
      <c r="S63" s="10"/>
      <c r="T63" s="10"/>
      <c r="U63" s="10"/>
    </row>
    <row r="64" spans="1:21">
      <c r="A64" s="17"/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5" t="str">
        <f t="shared" si="0"/>
        <v/>
      </c>
      <c r="N64" s="18" t="str">
        <f t="shared" si="1"/>
        <v/>
      </c>
      <c r="O64" s="18"/>
      <c r="P64" s="15" t="str">
        <f t="shared" si="2"/>
        <v/>
      </c>
      <c r="Q64" s="10"/>
      <c r="R64" s="10"/>
      <c r="S64" s="10"/>
      <c r="T64" s="10"/>
      <c r="U64" s="10"/>
    </row>
    <row r="65" spans="1:21">
      <c r="A65" s="17"/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5" t="str">
        <f t="shared" si="0"/>
        <v/>
      </c>
      <c r="N65" s="18" t="str">
        <f t="shared" si="1"/>
        <v/>
      </c>
      <c r="O65" s="18"/>
      <c r="P65" s="15" t="str">
        <f t="shared" si="2"/>
        <v/>
      </c>
      <c r="Q65" s="10"/>
      <c r="R65" s="10"/>
      <c r="S65" s="10"/>
      <c r="T65" s="10"/>
      <c r="U65" s="10"/>
    </row>
    <row r="66" spans="1:21">
      <c r="A66" s="17"/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5" t="str">
        <f t="shared" ref="M66:M129" si="3">IF($A66="","",SUM($C66:$L66))</f>
        <v/>
      </c>
      <c r="N66" s="18" t="str">
        <f t="shared" ref="N66:N129" si="4">IF($A66="","",SUM($C66:$L66))</f>
        <v/>
      </c>
      <c r="O66" s="18"/>
      <c r="P66" s="15" t="str">
        <f t="shared" ref="P66:P129" si="5">IF($A66="","",$M66-$N66-$O66)</f>
        <v/>
      </c>
      <c r="Q66" s="10"/>
      <c r="R66" s="10"/>
      <c r="S66" s="10"/>
      <c r="T66" s="10"/>
      <c r="U66" s="10"/>
    </row>
    <row r="67" spans="1:21">
      <c r="A67" s="17"/>
      <c r="B67" s="1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5" t="str">
        <f t="shared" si="3"/>
        <v/>
      </c>
      <c r="N67" s="18" t="str">
        <f t="shared" si="4"/>
        <v/>
      </c>
      <c r="O67" s="18"/>
      <c r="P67" s="15" t="str">
        <f t="shared" si="5"/>
        <v/>
      </c>
      <c r="Q67" s="10"/>
      <c r="R67" s="10"/>
      <c r="S67" s="10"/>
      <c r="T67" s="10"/>
      <c r="U67" s="10"/>
    </row>
    <row r="68" spans="1:21">
      <c r="A68" s="17"/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5" t="str">
        <f t="shared" si="3"/>
        <v/>
      </c>
      <c r="N68" s="18" t="str">
        <f t="shared" si="4"/>
        <v/>
      </c>
      <c r="O68" s="18"/>
      <c r="P68" s="15" t="str">
        <f t="shared" si="5"/>
        <v/>
      </c>
      <c r="Q68" s="10"/>
      <c r="R68" s="10"/>
      <c r="S68" s="10"/>
      <c r="T68" s="10"/>
      <c r="U68" s="10"/>
    </row>
    <row r="69" spans="1:21">
      <c r="A69" s="17"/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5" t="str">
        <f t="shared" si="3"/>
        <v/>
      </c>
      <c r="N69" s="18" t="str">
        <f t="shared" si="4"/>
        <v/>
      </c>
      <c r="O69" s="18"/>
      <c r="P69" s="15" t="str">
        <f t="shared" si="5"/>
        <v/>
      </c>
      <c r="Q69" s="10"/>
      <c r="R69" s="10"/>
      <c r="S69" s="10"/>
      <c r="T69" s="10"/>
      <c r="U69" s="10"/>
    </row>
    <row r="70" spans="1:21">
      <c r="A70" s="17"/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5" t="str">
        <f t="shared" si="3"/>
        <v/>
      </c>
      <c r="N70" s="18" t="str">
        <f t="shared" si="4"/>
        <v/>
      </c>
      <c r="O70" s="18"/>
      <c r="P70" s="15" t="str">
        <f t="shared" si="5"/>
        <v/>
      </c>
      <c r="Q70" s="10"/>
      <c r="R70" s="10"/>
      <c r="S70" s="10"/>
      <c r="T70" s="10"/>
      <c r="U70" s="10"/>
    </row>
    <row r="71" spans="1:21">
      <c r="A71" s="17"/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5" t="str">
        <f t="shared" si="3"/>
        <v/>
      </c>
      <c r="N71" s="18" t="str">
        <f t="shared" si="4"/>
        <v/>
      </c>
      <c r="O71" s="18"/>
      <c r="P71" s="15" t="str">
        <f t="shared" si="5"/>
        <v/>
      </c>
      <c r="Q71" s="10"/>
      <c r="R71" s="10"/>
      <c r="S71" s="10"/>
      <c r="T71" s="10"/>
      <c r="U71" s="10"/>
    </row>
    <row r="72" spans="1:21">
      <c r="A72" s="17"/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5" t="str">
        <f t="shared" si="3"/>
        <v/>
      </c>
      <c r="N72" s="18" t="str">
        <f t="shared" si="4"/>
        <v/>
      </c>
      <c r="O72" s="18"/>
      <c r="P72" s="15" t="str">
        <f t="shared" si="5"/>
        <v/>
      </c>
      <c r="Q72" s="10"/>
      <c r="R72" s="10"/>
      <c r="S72" s="10"/>
      <c r="T72" s="10"/>
      <c r="U72" s="10"/>
    </row>
    <row r="73" spans="1:21">
      <c r="A73" s="17"/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5" t="str">
        <f t="shared" si="3"/>
        <v/>
      </c>
      <c r="N73" s="18" t="str">
        <f t="shared" si="4"/>
        <v/>
      </c>
      <c r="O73" s="18"/>
      <c r="P73" s="15" t="str">
        <f t="shared" si="5"/>
        <v/>
      </c>
      <c r="Q73" s="10"/>
      <c r="R73" s="10"/>
      <c r="S73" s="10"/>
      <c r="T73" s="10"/>
      <c r="U73" s="10"/>
    </row>
    <row r="74" spans="1:21">
      <c r="A74" s="17"/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5" t="str">
        <f t="shared" si="3"/>
        <v/>
      </c>
      <c r="N74" s="18" t="str">
        <f t="shared" si="4"/>
        <v/>
      </c>
      <c r="O74" s="18"/>
      <c r="P74" s="15" t="str">
        <f t="shared" si="5"/>
        <v/>
      </c>
      <c r="Q74" s="10"/>
      <c r="R74" s="10"/>
      <c r="S74" s="10"/>
      <c r="T74" s="10"/>
      <c r="U74" s="10"/>
    </row>
    <row r="75" spans="1:21">
      <c r="A75" s="17"/>
      <c r="B75" s="1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5" t="str">
        <f t="shared" si="3"/>
        <v/>
      </c>
      <c r="N75" s="18" t="str">
        <f t="shared" si="4"/>
        <v/>
      </c>
      <c r="O75" s="18"/>
      <c r="P75" s="15" t="str">
        <f t="shared" si="5"/>
        <v/>
      </c>
      <c r="Q75" s="10"/>
      <c r="R75" s="10"/>
      <c r="S75" s="10"/>
      <c r="T75" s="10"/>
      <c r="U75" s="10"/>
    </row>
    <row r="76" spans="1:21">
      <c r="A76" s="17"/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5" t="str">
        <f t="shared" si="3"/>
        <v/>
      </c>
      <c r="N76" s="18" t="str">
        <f t="shared" si="4"/>
        <v/>
      </c>
      <c r="O76" s="18"/>
      <c r="P76" s="15" t="str">
        <f t="shared" si="5"/>
        <v/>
      </c>
      <c r="Q76" s="10"/>
      <c r="R76" s="10"/>
      <c r="S76" s="10"/>
      <c r="T76" s="10"/>
      <c r="U76" s="10"/>
    </row>
    <row r="77" spans="1:21">
      <c r="A77" s="17"/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5" t="str">
        <f t="shared" si="3"/>
        <v/>
      </c>
      <c r="N77" s="18" t="str">
        <f t="shared" si="4"/>
        <v/>
      </c>
      <c r="O77" s="18"/>
      <c r="P77" s="15" t="str">
        <f t="shared" si="5"/>
        <v/>
      </c>
      <c r="Q77" s="10"/>
      <c r="R77" s="10"/>
      <c r="S77" s="10"/>
      <c r="T77" s="10"/>
      <c r="U77" s="10"/>
    </row>
    <row r="78" spans="1:21">
      <c r="A78" s="17"/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5" t="str">
        <f t="shared" si="3"/>
        <v/>
      </c>
      <c r="N78" s="18" t="str">
        <f t="shared" si="4"/>
        <v/>
      </c>
      <c r="O78" s="18"/>
      <c r="P78" s="15" t="str">
        <f t="shared" si="5"/>
        <v/>
      </c>
      <c r="Q78" s="10"/>
      <c r="R78" s="10"/>
      <c r="S78" s="10"/>
      <c r="T78" s="10"/>
      <c r="U78" s="10"/>
    </row>
    <row r="79" spans="1:21">
      <c r="A79" s="17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5" t="str">
        <f t="shared" si="3"/>
        <v/>
      </c>
      <c r="N79" s="18" t="str">
        <f t="shared" si="4"/>
        <v/>
      </c>
      <c r="O79" s="18"/>
      <c r="P79" s="15" t="str">
        <f t="shared" si="5"/>
        <v/>
      </c>
      <c r="Q79" s="10"/>
      <c r="R79" s="10"/>
      <c r="S79" s="10"/>
      <c r="T79" s="10"/>
      <c r="U79" s="10"/>
    </row>
    <row r="80" spans="1:21">
      <c r="A80" s="17"/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5" t="str">
        <f t="shared" si="3"/>
        <v/>
      </c>
      <c r="N80" s="18" t="str">
        <f t="shared" si="4"/>
        <v/>
      </c>
      <c r="O80" s="18"/>
      <c r="P80" s="15" t="str">
        <f t="shared" si="5"/>
        <v/>
      </c>
      <c r="Q80" s="10"/>
      <c r="R80" s="10"/>
      <c r="S80" s="10"/>
      <c r="T80" s="10"/>
      <c r="U80" s="10"/>
    </row>
    <row r="81" spans="1:21">
      <c r="A81" s="17"/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5" t="str">
        <f t="shared" si="3"/>
        <v/>
      </c>
      <c r="N81" s="18" t="str">
        <f t="shared" si="4"/>
        <v/>
      </c>
      <c r="O81" s="18"/>
      <c r="P81" s="15" t="str">
        <f t="shared" si="5"/>
        <v/>
      </c>
      <c r="Q81" s="10"/>
      <c r="R81" s="10"/>
      <c r="S81" s="10"/>
      <c r="T81" s="10"/>
      <c r="U81" s="10"/>
    </row>
    <row r="82" spans="1:21">
      <c r="A82" s="17"/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5" t="str">
        <f t="shared" si="3"/>
        <v/>
      </c>
      <c r="N82" s="18" t="str">
        <f t="shared" si="4"/>
        <v/>
      </c>
      <c r="O82" s="18"/>
      <c r="P82" s="15" t="str">
        <f t="shared" si="5"/>
        <v/>
      </c>
      <c r="Q82" s="10"/>
      <c r="R82" s="10"/>
      <c r="S82" s="10"/>
      <c r="T82" s="10"/>
      <c r="U82" s="10"/>
    </row>
    <row r="83" spans="1:21">
      <c r="A83" s="17"/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5" t="str">
        <f t="shared" si="3"/>
        <v/>
      </c>
      <c r="N83" s="18" t="str">
        <f t="shared" si="4"/>
        <v/>
      </c>
      <c r="O83" s="18"/>
      <c r="P83" s="15" t="str">
        <f t="shared" si="5"/>
        <v/>
      </c>
      <c r="Q83" s="10"/>
      <c r="R83" s="10"/>
      <c r="S83" s="10"/>
      <c r="T83" s="10"/>
      <c r="U83" s="10"/>
    </row>
    <row r="84" spans="1:21">
      <c r="A84" s="17"/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5" t="str">
        <f t="shared" si="3"/>
        <v/>
      </c>
      <c r="N84" s="18" t="str">
        <f t="shared" si="4"/>
        <v/>
      </c>
      <c r="O84" s="18"/>
      <c r="P84" s="15" t="str">
        <f t="shared" si="5"/>
        <v/>
      </c>
      <c r="Q84" s="10"/>
      <c r="R84" s="10"/>
      <c r="S84" s="10"/>
      <c r="T84" s="10"/>
      <c r="U84" s="10"/>
    </row>
    <row r="85" spans="1:21">
      <c r="A85" s="17"/>
      <c r="B85" s="1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5" t="str">
        <f t="shared" si="3"/>
        <v/>
      </c>
      <c r="N85" s="18" t="str">
        <f t="shared" si="4"/>
        <v/>
      </c>
      <c r="O85" s="18"/>
      <c r="P85" s="15" t="str">
        <f t="shared" si="5"/>
        <v/>
      </c>
      <c r="Q85" s="10"/>
      <c r="R85" s="10"/>
      <c r="S85" s="10"/>
      <c r="T85" s="10"/>
      <c r="U85" s="10"/>
    </row>
    <row r="86" spans="1:21">
      <c r="A86" s="17"/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5" t="str">
        <f t="shared" si="3"/>
        <v/>
      </c>
      <c r="N86" s="18" t="str">
        <f t="shared" si="4"/>
        <v/>
      </c>
      <c r="O86" s="18"/>
      <c r="P86" s="15" t="str">
        <f t="shared" si="5"/>
        <v/>
      </c>
      <c r="Q86" s="10"/>
      <c r="R86" s="10"/>
      <c r="S86" s="10"/>
      <c r="T86" s="10"/>
      <c r="U86" s="10"/>
    </row>
    <row r="87" spans="1:21">
      <c r="A87" s="17"/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5" t="str">
        <f t="shared" si="3"/>
        <v/>
      </c>
      <c r="N87" s="18" t="str">
        <f t="shared" si="4"/>
        <v/>
      </c>
      <c r="O87" s="18"/>
      <c r="P87" s="15" t="str">
        <f t="shared" si="5"/>
        <v/>
      </c>
      <c r="Q87" s="10"/>
      <c r="R87" s="10"/>
      <c r="S87" s="10"/>
      <c r="T87" s="10"/>
      <c r="U87" s="10"/>
    </row>
    <row r="88" spans="1:21">
      <c r="A88" s="17"/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5" t="str">
        <f t="shared" si="3"/>
        <v/>
      </c>
      <c r="N88" s="18" t="str">
        <f t="shared" si="4"/>
        <v/>
      </c>
      <c r="O88" s="18"/>
      <c r="P88" s="15" t="str">
        <f t="shared" si="5"/>
        <v/>
      </c>
      <c r="Q88" s="10"/>
      <c r="R88" s="10"/>
      <c r="S88" s="10"/>
      <c r="T88" s="10"/>
      <c r="U88" s="10"/>
    </row>
    <row r="89" spans="1:21">
      <c r="A89" s="17"/>
      <c r="B89" s="1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5" t="str">
        <f t="shared" si="3"/>
        <v/>
      </c>
      <c r="N89" s="18" t="str">
        <f t="shared" si="4"/>
        <v/>
      </c>
      <c r="O89" s="18"/>
      <c r="P89" s="15" t="str">
        <f t="shared" si="5"/>
        <v/>
      </c>
      <c r="Q89" s="10"/>
      <c r="R89" s="10"/>
      <c r="S89" s="10"/>
      <c r="T89" s="10"/>
      <c r="U89" s="10"/>
    </row>
    <row r="90" spans="1:21">
      <c r="A90" s="17"/>
      <c r="B90" s="1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5" t="str">
        <f t="shared" si="3"/>
        <v/>
      </c>
      <c r="N90" s="18" t="str">
        <f t="shared" si="4"/>
        <v/>
      </c>
      <c r="O90" s="18"/>
      <c r="P90" s="15" t="str">
        <f t="shared" si="5"/>
        <v/>
      </c>
      <c r="Q90" s="10"/>
      <c r="R90" s="10"/>
      <c r="S90" s="10"/>
      <c r="T90" s="10"/>
      <c r="U90" s="10"/>
    </row>
    <row r="91" spans="1:21">
      <c r="A91" s="17"/>
      <c r="B91" s="1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5" t="str">
        <f t="shared" si="3"/>
        <v/>
      </c>
      <c r="N91" s="18" t="str">
        <f t="shared" si="4"/>
        <v/>
      </c>
      <c r="O91" s="18"/>
      <c r="P91" s="15" t="str">
        <f t="shared" si="5"/>
        <v/>
      </c>
      <c r="Q91" s="10"/>
      <c r="R91" s="10"/>
      <c r="S91" s="10"/>
      <c r="T91" s="10"/>
      <c r="U91" s="10"/>
    </row>
    <row r="92" spans="1:21">
      <c r="A92" s="17"/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5" t="str">
        <f t="shared" si="3"/>
        <v/>
      </c>
      <c r="N92" s="18" t="str">
        <f t="shared" si="4"/>
        <v/>
      </c>
      <c r="O92" s="18"/>
      <c r="P92" s="15" t="str">
        <f t="shared" si="5"/>
        <v/>
      </c>
      <c r="Q92" s="10"/>
      <c r="R92" s="10"/>
      <c r="S92" s="10"/>
      <c r="T92" s="10"/>
      <c r="U92" s="10"/>
    </row>
    <row r="93" spans="1:21">
      <c r="A93" s="17"/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5" t="str">
        <f t="shared" si="3"/>
        <v/>
      </c>
      <c r="N93" s="18" t="str">
        <f t="shared" si="4"/>
        <v/>
      </c>
      <c r="O93" s="18"/>
      <c r="P93" s="15" t="str">
        <f t="shared" si="5"/>
        <v/>
      </c>
      <c r="Q93" s="10"/>
      <c r="R93" s="10"/>
      <c r="S93" s="10"/>
      <c r="T93" s="10"/>
      <c r="U93" s="10"/>
    </row>
    <row r="94" spans="1:21">
      <c r="A94" s="17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5" t="str">
        <f t="shared" si="3"/>
        <v/>
      </c>
      <c r="N94" s="18" t="str">
        <f t="shared" si="4"/>
        <v/>
      </c>
      <c r="O94" s="18"/>
      <c r="P94" s="15" t="str">
        <f t="shared" si="5"/>
        <v/>
      </c>
      <c r="Q94" s="10"/>
      <c r="R94" s="10"/>
      <c r="S94" s="10"/>
      <c r="T94" s="10"/>
      <c r="U94" s="10"/>
    </row>
    <row r="95" spans="1:21">
      <c r="A95" s="17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5" t="str">
        <f t="shared" si="3"/>
        <v/>
      </c>
      <c r="N95" s="18" t="str">
        <f t="shared" si="4"/>
        <v/>
      </c>
      <c r="O95" s="18"/>
      <c r="P95" s="15" t="str">
        <f t="shared" si="5"/>
        <v/>
      </c>
      <c r="Q95" s="10"/>
      <c r="R95" s="10"/>
      <c r="S95" s="10"/>
      <c r="T95" s="10"/>
      <c r="U95" s="10"/>
    </row>
    <row r="96" spans="1:21">
      <c r="A96" s="17"/>
      <c r="B96" s="1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5" t="str">
        <f t="shared" si="3"/>
        <v/>
      </c>
      <c r="N96" s="18" t="str">
        <f t="shared" si="4"/>
        <v/>
      </c>
      <c r="O96" s="18"/>
      <c r="P96" s="15" t="str">
        <f t="shared" si="5"/>
        <v/>
      </c>
      <c r="Q96" s="10"/>
      <c r="R96" s="10"/>
      <c r="S96" s="10"/>
      <c r="T96" s="10"/>
      <c r="U96" s="10"/>
    </row>
    <row r="97" spans="1:21">
      <c r="A97" s="17"/>
      <c r="B97" s="1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5" t="str">
        <f t="shared" si="3"/>
        <v/>
      </c>
      <c r="N97" s="18" t="str">
        <f t="shared" si="4"/>
        <v/>
      </c>
      <c r="O97" s="18"/>
      <c r="P97" s="15" t="str">
        <f t="shared" si="5"/>
        <v/>
      </c>
      <c r="Q97" s="10"/>
      <c r="R97" s="10"/>
      <c r="S97" s="10"/>
      <c r="T97" s="10"/>
      <c r="U97" s="10"/>
    </row>
    <row r="98" spans="1:21">
      <c r="A98" s="17"/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5" t="str">
        <f t="shared" si="3"/>
        <v/>
      </c>
      <c r="N98" s="18" t="str">
        <f t="shared" si="4"/>
        <v/>
      </c>
      <c r="O98" s="18"/>
      <c r="P98" s="15" t="str">
        <f t="shared" si="5"/>
        <v/>
      </c>
      <c r="Q98" s="10"/>
      <c r="R98" s="10"/>
      <c r="S98" s="10"/>
      <c r="T98" s="10"/>
      <c r="U98" s="10"/>
    </row>
    <row r="99" spans="1:21">
      <c r="A99" s="17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5" t="str">
        <f t="shared" si="3"/>
        <v/>
      </c>
      <c r="N99" s="18" t="str">
        <f t="shared" si="4"/>
        <v/>
      </c>
      <c r="O99" s="18"/>
      <c r="P99" s="15" t="str">
        <f t="shared" si="5"/>
        <v/>
      </c>
      <c r="Q99" s="10"/>
      <c r="R99" s="10"/>
      <c r="S99" s="10"/>
      <c r="T99" s="10"/>
      <c r="U99" s="10"/>
    </row>
    <row r="100" spans="1:21">
      <c r="A100" s="17"/>
      <c r="B100" s="1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5" t="str">
        <f t="shared" si="3"/>
        <v/>
      </c>
      <c r="N100" s="18" t="str">
        <f t="shared" si="4"/>
        <v/>
      </c>
      <c r="O100" s="18"/>
      <c r="P100" s="15" t="str">
        <f t="shared" si="5"/>
        <v/>
      </c>
      <c r="Q100" s="10"/>
      <c r="R100" s="10"/>
      <c r="S100" s="10"/>
      <c r="T100" s="10"/>
      <c r="U100" s="10"/>
    </row>
    <row r="101" spans="1:2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8" t="str">
        <f t="shared" si="3"/>
        <v/>
      </c>
      <c r="N101" s="7" t="str">
        <f t="shared" si="4"/>
        <v/>
      </c>
      <c r="O101" s="7"/>
      <c r="P101" s="8" t="str">
        <f t="shared" si="5"/>
        <v/>
      </c>
    </row>
    <row r="102" spans="1:2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8" t="str">
        <f t="shared" si="3"/>
        <v/>
      </c>
      <c r="N102" s="7" t="str">
        <f t="shared" si="4"/>
        <v/>
      </c>
      <c r="O102" s="7"/>
      <c r="P102" s="8" t="str">
        <f t="shared" si="5"/>
        <v/>
      </c>
    </row>
    <row r="103" spans="1:2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8" t="str">
        <f t="shared" si="3"/>
        <v/>
      </c>
      <c r="N103" s="7" t="str">
        <f t="shared" si="4"/>
        <v/>
      </c>
      <c r="O103" s="7"/>
      <c r="P103" s="8" t="str">
        <f t="shared" si="5"/>
        <v/>
      </c>
    </row>
    <row r="104" spans="1:2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8" t="str">
        <f t="shared" si="3"/>
        <v/>
      </c>
      <c r="N104" s="7" t="str">
        <f t="shared" si="4"/>
        <v/>
      </c>
      <c r="O104" s="7"/>
      <c r="P104" s="8" t="str">
        <f t="shared" si="5"/>
        <v/>
      </c>
    </row>
    <row r="105" spans="1:2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 t="str">
        <f t="shared" si="3"/>
        <v/>
      </c>
      <c r="N105" s="7" t="str">
        <f t="shared" si="4"/>
        <v/>
      </c>
      <c r="O105" s="7"/>
      <c r="P105" s="8" t="str">
        <f t="shared" si="5"/>
        <v/>
      </c>
    </row>
    <row r="106" spans="1:2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 t="str">
        <f t="shared" si="3"/>
        <v/>
      </c>
      <c r="N106" s="7" t="str">
        <f t="shared" si="4"/>
        <v/>
      </c>
      <c r="O106" s="7"/>
      <c r="P106" s="8" t="str">
        <f t="shared" si="5"/>
        <v/>
      </c>
    </row>
    <row r="107" spans="1:2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 t="str">
        <f t="shared" si="3"/>
        <v/>
      </c>
      <c r="N107" s="7" t="str">
        <f t="shared" si="4"/>
        <v/>
      </c>
      <c r="O107" s="7"/>
      <c r="P107" s="8" t="str">
        <f t="shared" si="5"/>
        <v/>
      </c>
    </row>
    <row r="108" spans="1:2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 t="str">
        <f t="shared" si="3"/>
        <v/>
      </c>
      <c r="N108" s="7" t="str">
        <f t="shared" si="4"/>
        <v/>
      </c>
      <c r="O108" s="7"/>
      <c r="P108" s="8" t="str">
        <f t="shared" si="5"/>
        <v/>
      </c>
    </row>
    <row r="109" spans="1:2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 t="str">
        <f t="shared" si="3"/>
        <v/>
      </c>
      <c r="N109" s="7" t="str">
        <f t="shared" si="4"/>
        <v/>
      </c>
      <c r="O109" s="7"/>
      <c r="P109" s="8" t="str">
        <f t="shared" si="5"/>
        <v/>
      </c>
    </row>
    <row r="110" spans="1:2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 t="str">
        <f t="shared" si="3"/>
        <v/>
      </c>
      <c r="N110" s="7" t="str">
        <f t="shared" si="4"/>
        <v/>
      </c>
      <c r="O110" s="7"/>
      <c r="P110" s="8" t="str">
        <f t="shared" si="5"/>
        <v/>
      </c>
    </row>
    <row r="111" spans="1:2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8" t="str">
        <f t="shared" si="3"/>
        <v/>
      </c>
      <c r="N111" s="7" t="str">
        <f t="shared" si="4"/>
        <v/>
      </c>
      <c r="O111" s="7"/>
      <c r="P111" s="8" t="str">
        <f t="shared" si="5"/>
        <v/>
      </c>
    </row>
    <row r="112" spans="1:2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8" t="str">
        <f t="shared" si="3"/>
        <v/>
      </c>
      <c r="N112" s="7" t="str">
        <f t="shared" si="4"/>
        <v/>
      </c>
      <c r="O112" s="7"/>
      <c r="P112" s="8" t="str">
        <f t="shared" si="5"/>
        <v/>
      </c>
    </row>
    <row r="113" spans="1:16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8" t="str">
        <f t="shared" si="3"/>
        <v/>
      </c>
      <c r="N113" s="7" t="str">
        <f t="shared" si="4"/>
        <v/>
      </c>
      <c r="O113" s="7"/>
      <c r="P113" s="8" t="str">
        <f t="shared" si="5"/>
        <v/>
      </c>
    </row>
    <row r="114" spans="1:16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" t="str">
        <f t="shared" si="3"/>
        <v/>
      </c>
      <c r="N114" s="7" t="str">
        <f t="shared" si="4"/>
        <v/>
      </c>
      <c r="O114" s="7"/>
      <c r="P114" s="8" t="str">
        <f t="shared" si="5"/>
        <v/>
      </c>
    </row>
    <row r="115" spans="1:16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 t="str">
        <f t="shared" si="3"/>
        <v/>
      </c>
      <c r="N115" s="7" t="str">
        <f t="shared" si="4"/>
        <v/>
      </c>
      <c r="O115" s="7"/>
      <c r="P115" s="8" t="str">
        <f t="shared" si="5"/>
        <v/>
      </c>
    </row>
    <row r="116" spans="1:16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 t="str">
        <f t="shared" si="3"/>
        <v/>
      </c>
      <c r="N116" s="7" t="str">
        <f t="shared" si="4"/>
        <v/>
      </c>
      <c r="O116" s="7"/>
      <c r="P116" s="8" t="str">
        <f t="shared" si="5"/>
        <v/>
      </c>
    </row>
    <row r="117" spans="1:16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 t="str">
        <f t="shared" si="3"/>
        <v/>
      </c>
      <c r="N117" s="7" t="str">
        <f t="shared" si="4"/>
        <v/>
      </c>
      <c r="O117" s="7"/>
      <c r="P117" s="8" t="str">
        <f t="shared" si="5"/>
        <v/>
      </c>
    </row>
    <row r="118" spans="1:16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 t="str">
        <f t="shared" si="3"/>
        <v/>
      </c>
      <c r="N118" s="7" t="str">
        <f t="shared" si="4"/>
        <v/>
      </c>
      <c r="O118" s="7"/>
      <c r="P118" s="8" t="str">
        <f t="shared" si="5"/>
        <v/>
      </c>
    </row>
    <row r="119" spans="1:16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 t="str">
        <f t="shared" si="3"/>
        <v/>
      </c>
      <c r="N119" s="7" t="str">
        <f t="shared" si="4"/>
        <v/>
      </c>
      <c r="O119" s="7"/>
      <c r="P119" s="8" t="str">
        <f t="shared" si="5"/>
        <v/>
      </c>
    </row>
    <row r="120" spans="1:16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 t="str">
        <f t="shared" si="3"/>
        <v/>
      </c>
      <c r="N120" s="7" t="str">
        <f t="shared" si="4"/>
        <v/>
      </c>
      <c r="O120" s="7"/>
      <c r="P120" s="8" t="str">
        <f t="shared" si="5"/>
        <v/>
      </c>
    </row>
    <row r="121" spans="1:16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 t="str">
        <f t="shared" si="3"/>
        <v/>
      </c>
      <c r="N121" s="7" t="str">
        <f t="shared" si="4"/>
        <v/>
      </c>
      <c r="O121" s="7"/>
      <c r="P121" s="8" t="str">
        <f t="shared" si="5"/>
        <v/>
      </c>
    </row>
    <row r="122" spans="1:16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8" t="str">
        <f t="shared" si="3"/>
        <v/>
      </c>
      <c r="N122" s="7" t="str">
        <f t="shared" si="4"/>
        <v/>
      </c>
      <c r="O122" s="7"/>
      <c r="P122" s="8" t="str">
        <f t="shared" si="5"/>
        <v/>
      </c>
    </row>
    <row r="123" spans="1:16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 t="str">
        <f t="shared" si="3"/>
        <v/>
      </c>
      <c r="N123" s="7" t="str">
        <f t="shared" si="4"/>
        <v/>
      </c>
      <c r="O123" s="7"/>
      <c r="P123" s="8" t="str">
        <f t="shared" si="5"/>
        <v/>
      </c>
    </row>
    <row r="124" spans="1:16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 t="str">
        <f t="shared" si="3"/>
        <v/>
      </c>
      <c r="N124" s="7" t="str">
        <f t="shared" si="4"/>
        <v/>
      </c>
      <c r="O124" s="7"/>
      <c r="P124" s="8" t="str">
        <f t="shared" si="5"/>
        <v/>
      </c>
    </row>
    <row r="125" spans="1:16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8" t="str">
        <f t="shared" si="3"/>
        <v/>
      </c>
      <c r="N125" s="7" t="str">
        <f t="shared" si="4"/>
        <v/>
      </c>
      <c r="O125" s="7"/>
      <c r="P125" s="8" t="str">
        <f t="shared" si="5"/>
        <v/>
      </c>
    </row>
    <row r="126" spans="1:16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8" t="str">
        <f t="shared" si="3"/>
        <v/>
      </c>
      <c r="N126" s="7" t="str">
        <f t="shared" si="4"/>
        <v/>
      </c>
      <c r="O126" s="7"/>
      <c r="P126" s="8" t="str">
        <f t="shared" si="5"/>
        <v/>
      </c>
    </row>
    <row r="127" spans="1:16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 t="str">
        <f t="shared" si="3"/>
        <v/>
      </c>
      <c r="N127" s="7" t="str">
        <f t="shared" si="4"/>
        <v/>
      </c>
      <c r="O127" s="7"/>
      <c r="P127" s="8" t="str">
        <f t="shared" si="5"/>
        <v/>
      </c>
    </row>
    <row r="128" spans="1:16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 t="str">
        <f t="shared" si="3"/>
        <v/>
      </c>
      <c r="N128" s="7" t="str">
        <f t="shared" si="4"/>
        <v/>
      </c>
      <c r="O128" s="7"/>
      <c r="P128" s="8" t="str">
        <f t="shared" si="5"/>
        <v/>
      </c>
    </row>
    <row r="129" spans="1:16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 t="str">
        <f t="shared" si="3"/>
        <v/>
      </c>
      <c r="N129" s="7" t="str">
        <f t="shared" si="4"/>
        <v/>
      </c>
      <c r="O129" s="7"/>
      <c r="P129" s="8" t="str">
        <f t="shared" si="5"/>
        <v/>
      </c>
    </row>
    <row r="130" spans="1:16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 t="str">
        <f t="shared" ref="M130:M193" si="6">IF($A130="","",SUM($C130:$L130))</f>
        <v/>
      </c>
      <c r="N130" s="7" t="str">
        <f t="shared" ref="N130:N193" si="7">IF($A130="","",SUM($C130:$L130))</f>
        <v/>
      </c>
      <c r="O130" s="7"/>
      <c r="P130" s="8" t="str">
        <f t="shared" ref="P130:P193" si="8">IF($A130="","",$M130-$N130-$O130)</f>
        <v/>
      </c>
    </row>
    <row r="131" spans="1:16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 t="str">
        <f t="shared" si="6"/>
        <v/>
      </c>
      <c r="N131" s="7" t="str">
        <f t="shared" si="7"/>
        <v/>
      </c>
      <c r="O131" s="7"/>
      <c r="P131" s="8" t="str">
        <f t="shared" si="8"/>
        <v/>
      </c>
    </row>
    <row r="132" spans="1:16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 t="str">
        <f t="shared" si="6"/>
        <v/>
      </c>
      <c r="N132" s="7" t="str">
        <f t="shared" si="7"/>
        <v/>
      </c>
      <c r="O132" s="7"/>
      <c r="P132" s="8" t="str">
        <f t="shared" si="8"/>
        <v/>
      </c>
    </row>
    <row r="133" spans="1:16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 t="str">
        <f t="shared" si="6"/>
        <v/>
      </c>
      <c r="N133" s="7" t="str">
        <f t="shared" si="7"/>
        <v/>
      </c>
      <c r="O133" s="7"/>
      <c r="P133" s="8" t="str">
        <f t="shared" si="8"/>
        <v/>
      </c>
    </row>
    <row r="134" spans="1:16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 t="str">
        <f t="shared" si="6"/>
        <v/>
      </c>
      <c r="N134" s="7" t="str">
        <f t="shared" si="7"/>
        <v/>
      </c>
      <c r="O134" s="7"/>
      <c r="P134" s="8" t="str">
        <f t="shared" si="8"/>
        <v/>
      </c>
    </row>
    <row r="135" spans="1:16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8" t="str">
        <f t="shared" si="6"/>
        <v/>
      </c>
      <c r="N135" s="7" t="str">
        <f t="shared" si="7"/>
        <v/>
      </c>
      <c r="O135" s="7"/>
      <c r="P135" s="8" t="str">
        <f t="shared" si="8"/>
        <v/>
      </c>
    </row>
    <row r="136" spans="1:16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 t="str">
        <f t="shared" si="6"/>
        <v/>
      </c>
      <c r="N136" s="7" t="str">
        <f t="shared" si="7"/>
        <v/>
      </c>
      <c r="O136" s="7"/>
      <c r="P136" s="8" t="str">
        <f t="shared" si="8"/>
        <v/>
      </c>
    </row>
    <row r="137" spans="1:16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 t="str">
        <f t="shared" si="6"/>
        <v/>
      </c>
      <c r="N137" s="7" t="str">
        <f t="shared" si="7"/>
        <v/>
      </c>
      <c r="O137" s="7"/>
      <c r="P137" s="8" t="str">
        <f t="shared" si="8"/>
        <v/>
      </c>
    </row>
    <row r="138" spans="1:16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 t="str">
        <f t="shared" si="6"/>
        <v/>
      </c>
      <c r="N138" s="7" t="str">
        <f t="shared" si="7"/>
        <v/>
      </c>
      <c r="O138" s="7"/>
      <c r="P138" s="8" t="str">
        <f t="shared" si="8"/>
        <v/>
      </c>
    </row>
    <row r="139" spans="1:16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 t="str">
        <f t="shared" si="6"/>
        <v/>
      </c>
      <c r="N139" s="7" t="str">
        <f t="shared" si="7"/>
        <v/>
      </c>
      <c r="O139" s="7"/>
      <c r="P139" s="8" t="str">
        <f t="shared" si="8"/>
        <v/>
      </c>
    </row>
    <row r="140" spans="1:16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 t="str">
        <f t="shared" si="6"/>
        <v/>
      </c>
      <c r="N140" s="7" t="str">
        <f t="shared" si="7"/>
        <v/>
      </c>
      <c r="O140" s="7"/>
      <c r="P140" s="8" t="str">
        <f t="shared" si="8"/>
        <v/>
      </c>
    </row>
    <row r="141" spans="1:16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 t="str">
        <f t="shared" si="6"/>
        <v/>
      </c>
      <c r="N141" s="7" t="str">
        <f t="shared" si="7"/>
        <v/>
      </c>
      <c r="O141" s="7"/>
      <c r="P141" s="8" t="str">
        <f t="shared" si="8"/>
        <v/>
      </c>
    </row>
    <row r="142" spans="1:16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 t="str">
        <f t="shared" si="6"/>
        <v/>
      </c>
      <c r="N142" s="7" t="str">
        <f t="shared" si="7"/>
        <v/>
      </c>
      <c r="O142" s="7"/>
      <c r="P142" s="8" t="str">
        <f t="shared" si="8"/>
        <v/>
      </c>
    </row>
    <row r="143" spans="1:16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 t="str">
        <f t="shared" si="6"/>
        <v/>
      </c>
      <c r="N143" s="7" t="str">
        <f t="shared" si="7"/>
        <v/>
      </c>
      <c r="O143" s="7"/>
      <c r="P143" s="8" t="str">
        <f t="shared" si="8"/>
        <v/>
      </c>
    </row>
    <row r="144" spans="1:16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" t="str">
        <f t="shared" si="6"/>
        <v/>
      </c>
      <c r="N144" s="7" t="str">
        <f t="shared" si="7"/>
        <v/>
      </c>
      <c r="O144" s="7"/>
      <c r="P144" s="8" t="str">
        <f t="shared" si="8"/>
        <v/>
      </c>
    </row>
    <row r="145" spans="1:16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 t="str">
        <f t="shared" si="6"/>
        <v/>
      </c>
      <c r="N145" s="7" t="str">
        <f t="shared" si="7"/>
        <v/>
      </c>
      <c r="O145" s="7"/>
      <c r="P145" s="8" t="str">
        <f t="shared" si="8"/>
        <v/>
      </c>
    </row>
    <row r="146" spans="1:16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 t="str">
        <f t="shared" si="6"/>
        <v/>
      </c>
      <c r="N146" s="7" t="str">
        <f t="shared" si="7"/>
        <v/>
      </c>
      <c r="O146" s="7"/>
      <c r="P146" s="8" t="str">
        <f t="shared" si="8"/>
        <v/>
      </c>
    </row>
    <row r="147" spans="1:16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8" t="str">
        <f t="shared" si="6"/>
        <v/>
      </c>
      <c r="N147" s="7" t="str">
        <f t="shared" si="7"/>
        <v/>
      </c>
      <c r="O147" s="7"/>
      <c r="P147" s="8" t="str">
        <f t="shared" si="8"/>
        <v/>
      </c>
    </row>
    <row r="148" spans="1:16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8" t="str">
        <f t="shared" si="6"/>
        <v/>
      </c>
      <c r="N148" s="7" t="str">
        <f t="shared" si="7"/>
        <v/>
      </c>
      <c r="O148" s="7"/>
      <c r="P148" s="8" t="str">
        <f t="shared" si="8"/>
        <v/>
      </c>
    </row>
    <row r="149" spans="1:16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 t="str">
        <f t="shared" si="6"/>
        <v/>
      </c>
      <c r="N149" s="7" t="str">
        <f t="shared" si="7"/>
        <v/>
      </c>
      <c r="O149" s="7"/>
      <c r="P149" s="8" t="str">
        <f t="shared" si="8"/>
        <v/>
      </c>
    </row>
    <row r="150" spans="1:16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 t="str">
        <f t="shared" si="6"/>
        <v/>
      </c>
      <c r="N150" s="7" t="str">
        <f t="shared" si="7"/>
        <v/>
      </c>
      <c r="O150" s="7"/>
      <c r="P150" s="8" t="str">
        <f t="shared" si="8"/>
        <v/>
      </c>
    </row>
    <row r="151" spans="1:16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 t="str">
        <f t="shared" si="6"/>
        <v/>
      </c>
      <c r="N151" s="7" t="str">
        <f t="shared" si="7"/>
        <v/>
      </c>
      <c r="O151" s="7"/>
      <c r="P151" s="8" t="str">
        <f t="shared" si="8"/>
        <v/>
      </c>
    </row>
    <row r="152" spans="1:16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 t="str">
        <f t="shared" si="6"/>
        <v/>
      </c>
      <c r="N152" s="7" t="str">
        <f t="shared" si="7"/>
        <v/>
      </c>
      <c r="O152" s="7"/>
      <c r="P152" s="8" t="str">
        <f t="shared" si="8"/>
        <v/>
      </c>
    </row>
    <row r="153" spans="1:16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 t="str">
        <f t="shared" si="6"/>
        <v/>
      </c>
      <c r="N153" s="7" t="str">
        <f t="shared" si="7"/>
        <v/>
      </c>
      <c r="O153" s="7"/>
      <c r="P153" s="8" t="str">
        <f t="shared" si="8"/>
        <v/>
      </c>
    </row>
    <row r="154" spans="1:16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 t="str">
        <f t="shared" si="6"/>
        <v/>
      </c>
      <c r="N154" s="7" t="str">
        <f t="shared" si="7"/>
        <v/>
      </c>
      <c r="O154" s="7"/>
      <c r="P154" s="8" t="str">
        <f t="shared" si="8"/>
        <v/>
      </c>
    </row>
    <row r="155" spans="1:16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 t="str">
        <f t="shared" si="6"/>
        <v/>
      </c>
      <c r="N155" s="7" t="str">
        <f t="shared" si="7"/>
        <v/>
      </c>
      <c r="O155" s="7"/>
      <c r="P155" s="8" t="str">
        <f t="shared" si="8"/>
        <v/>
      </c>
    </row>
    <row r="156" spans="1:16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 t="str">
        <f t="shared" si="6"/>
        <v/>
      </c>
      <c r="N156" s="7" t="str">
        <f t="shared" si="7"/>
        <v/>
      </c>
      <c r="O156" s="7"/>
      <c r="P156" s="8" t="str">
        <f t="shared" si="8"/>
        <v/>
      </c>
    </row>
    <row r="157" spans="1:16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8" t="str">
        <f t="shared" si="6"/>
        <v/>
      </c>
      <c r="N157" s="7" t="str">
        <f t="shared" si="7"/>
        <v/>
      </c>
      <c r="O157" s="7"/>
      <c r="P157" s="8" t="str">
        <f t="shared" si="8"/>
        <v/>
      </c>
    </row>
    <row r="158" spans="1:16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8" t="str">
        <f t="shared" si="6"/>
        <v/>
      </c>
      <c r="N158" s="7" t="str">
        <f t="shared" si="7"/>
        <v/>
      </c>
      <c r="O158" s="7"/>
      <c r="P158" s="8" t="str">
        <f t="shared" si="8"/>
        <v/>
      </c>
    </row>
    <row r="159" spans="1:16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8" t="str">
        <f t="shared" si="6"/>
        <v/>
      </c>
      <c r="N159" s="7" t="str">
        <f t="shared" si="7"/>
        <v/>
      </c>
      <c r="O159" s="7"/>
      <c r="P159" s="8" t="str">
        <f t="shared" si="8"/>
        <v/>
      </c>
    </row>
    <row r="160" spans="1:16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 t="str">
        <f t="shared" si="6"/>
        <v/>
      </c>
      <c r="N160" s="7" t="str">
        <f t="shared" si="7"/>
        <v/>
      </c>
      <c r="O160" s="7"/>
      <c r="P160" s="8" t="str">
        <f t="shared" si="8"/>
        <v/>
      </c>
    </row>
    <row r="161" spans="1:16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 t="str">
        <f t="shared" si="6"/>
        <v/>
      </c>
      <c r="N161" s="7" t="str">
        <f t="shared" si="7"/>
        <v/>
      </c>
      <c r="O161" s="7"/>
      <c r="P161" s="8" t="str">
        <f t="shared" si="8"/>
        <v/>
      </c>
    </row>
    <row r="162" spans="1:16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 t="str">
        <f t="shared" si="6"/>
        <v/>
      </c>
      <c r="N162" s="7" t="str">
        <f t="shared" si="7"/>
        <v/>
      </c>
      <c r="O162" s="7"/>
      <c r="P162" s="8" t="str">
        <f t="shared" si="8"/>
        <v/>
      </c>
    </row>
    <row r="163" spans="1:16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 t="str">
        <f t="shared" si="6"/>
        <v/>
      </c>
      <c r="N163" s="7" t="str">
        <f t="shared" si="7"/>
        <v/>
      </c>
      <c r="O163" s="7"/>
      <c r="P163" s="8" t="str">
        <f t="shared" si="8"/>
        <v/>
      </c>
    </row>
    <row r="164" spans="1:16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 t="str">
        <f t="shared" si="6"/>
        <v/>
      </c>
      <c r="N164" s="7" t="str">
        <f t="shared" si="7"/>
        <v/>
      </c>
      <c r="O164" s="7"/>
      <c r="P164" s="8" t="str">
        <f t="shared" si="8"/>
        <v/>
      </c>
    </row>
    <row r="165" spans="1:16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 t="str">
        <f t="shared" si="6"/>
        <v/>
      </c>
      <c r="N165" s="7" t="str">
        <f t="shared" si="7"/>
        <v/>
      </c>
      <c r="O165" s="7"/>
      <c r="P165" s="8" t="str">
        <f t="shared" si="8"/>
        <v/>
      </c>
    </row>
    <row r="166" spans="1:16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 t="str">
        <f t="shared" si="6"/>
        <v/>
      </c>
      <c r="N166" s="7" t="str">
        <f t="shared" si="7"/>
        <v/>
      </c>
      <c r="O166" s="7"/>
      <c r="P166" s="8" t="str">
        <f t="shared" si="8"/>
        <v/>
      </c>
    </row>
    <row r="167" spans="1:16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8" t="str">
        <f t="shared" si="6"/>
        <v/>
      </c>
      <c r="N167" s="7" t="str">
        <f t="shared" si="7"/>
        <v/>
      </c>
      <c r="O167" s="7"/>
      <c r="P167" s="8" t="str">
        <f t="shared" si="8"/>
        <v/>
      </c>
    </row>
    <row r="168" spans="1:16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8" t="str">
        <f t="shared" si="6"/>
        <v/>
      </c>
      <c r="N168" s="7" t="str">
        <f t="shared" si="7"/>
        <v/>
      </c>
      <c r="O168" s="7"/>
      <c r="P168" s="8" t="str">
        <f t="shared" si="8"/>
        <v/>
      </c>
    </row>
    <row r="169" spans="1:16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8" t="str">
        <f t="shared" si="6"/>
        <v/>
      </c>
      <c r="N169" s="7" t="str">
        <f t="shared" si="7"/>
        <v/>
      </c>
      <c r="O169" s="7"/>
      <c r="P169" s="8" t="str">
        <f t="shared" si="8"/>
        <v/>
      </c>
    </row>
    <row r="170" spans="1:16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8" t="str">
        <f t="shared" si="6"/>
        <v/>
      </c>
      <c r="N170" s="7" t="str">
        <f t="shared" si="7"/>
        <v/>
      </c>
      <c r="O170" s="7"/>
      <c r="P170" s="8" t="str">
        <f t="shared" si="8"/>
        <v/>
      </c>
    </row>
    <row r="171" spans="1:16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 t="str">
        <f t="shared" si="6"/>
        <v/>
      </c>
      <c r="N171" s="7" t="str">
        <f t="shared" si="7"/>
        <v/>
      </c>
      <c r="O171" s="7"/>
      <c r="P171" s="8" t="str">
        <f t="shared" si="8"/>
        <v/>
      </c>
    </row>
    <row r="172" spans="1:16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 t="str">
        <f t="shared" si="6"/>
        <v/>
      </c>
      <c r="N172" s="7" t="str">
        <f t="shared" si="7"/>
        <v/>
      </c>
      <c r="O172" s="7"/>
      <c r="P172" s="8" t="str">
        <f t="shared" si="8"/>
        <v/>
      </c>
    </row>
    <row r="173" spans="1:16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 t="str">
        <f t="shared" si="6"/>
        <v/>
      </c>
      <c r="N173" s="7" t="str">
        <f t="shared" si="7"/>
        <v/>
      </c>
      <c r="O173" s="7"/>
      <c r="P173" s="8" t="str">
        <f t="shared" si="8"/>
        <v/>
      </c>
    </row>
    <row r="174" spans="1:16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 t="str">
        <f t="shared" si="6"/>
        <v/>
      </c>
      <c r="N174" s="7" t="str">
        <f t="shared" si="7"/>
        <v/>
      </c>
      <c r="O174" s="7"/>
      <c r="P174" s="8" t="str">
        <f t="shared" si="8"/>
        <v/>
      </c>
    </row>
    <row r="175" spans="1:16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 t="str">
        <f t="shared" si="6"/>
        <v/>
      </c>
      <c r="N175" s="7" t="str">
        <f t="shared" si="7"/>
        <v/>
      </c>
      <c r="O175" s="7"/>
      <c r="P175" s="8" t="str">
        <f t="shared" si="8"/>
        <v/>
      </c>
    </row>
    <row r="176" spans="1:16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 t="str">
        <f t="shared" si="6"/>
        <v/>
      </c>
      <c r="N176" s="7" t="str">
        <f t="shared" si="7"/>
        <v/>
      </c>
      <c r="O176" s="7"/>
      <c r="P176" s="8" t="str">
        <f t="shared" si="8"/>
        <v/>
      </c>
    </row>
    <row r="177" spans="1:16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8" t="str">
        <f t="shared" si="6"/>
        <v/>
      </c>
      <c r="N177" s="7" t="str">
        <f t="shared" si="7"/>
        <v/>
      </c>
      <c r="O177" s="7"/>
      <c r="P177" s="8" t="str">
        <f t="shared" si="8"/>
        <v/>
      </c>
    </row>
    <row r="178" spans="1:16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8" t="str">
        <f t="shared" si="6"/>
        <v/>
      </c>
      <c r="N178" s="7" t="str">
        <f t="shared" si="7"/>
        <v/>
      </c>
      <c r="O178" s="7"/>
      <c r="P178" s="8" t="str">
        <f t="shared" si="8"/>
        <v/>
      </c>
    </row>
    <row r="179" spans="1:16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8" t="str">
        <f t="shared" si="6"/>
        <v/>
      </c>
      <c r="N179" s="7" t="str">
        <f t="shared" si="7"/>
        <v/>
      </c>
      <c r="O179" s="7"/>
      <c r="P179" s="8" t="str">
        <f t="shared" si="8"/>
        <v/>
      </c>
    </row>
    <row r="180" spans="1:16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8" t="str">
        <f t="shared" si="6"/>
        <v/>
      </c>
      <c r="N180" s="7" t="str">
        <f t="shared" si="7"/>
        <v/>
      </c>
      <c r="O180" s="7"/>
      <c r="P180" s="8" t="str">
        <f t="shared" si="8"/>
        <v/>
      </c>
    </row>
    <row r="181" spans="1:16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8" t="str">
        <f t="shared" si="6"/>
        <v/>
      </c>
      <c r="N181" s="7" t="str">
        <f t="shared" si="7"/>
        <v/>
      </c>
      <c r="O181" s="7"/>
      <c r="P181" s="8" t="str">
        <f t="shared" si="8"/>
        <v/>
      </c>
    </row>
    <row r="182" spans="1:16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 t="str">
        <f t="shared" si="6"/>
        <v/>
      </c>
      <c r="N182" s="7" t="str">
        <f t="shared" si="7"/>
        <v/>
      </c>
      <c r="O182" s="7"/>
      <c r="P182" s="8" t="str">
        <f t="shared" si="8"/>
        <v/>
      </c>
    </row>
    <row r="183" spans="1:16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 t="str">
        <f t="shared" si="6"/>
        <v/>
      </c>
      <c r="N183" s="7" t="str">
        <f t="shared" si="7"/>
        <v/>
      </c>
      <c r="O183" s="7"/>
      <c r="P183" s="8" t="str">
        <f t="shared" si="8"/>
        <v/>
      </c>
    </row>
    <row r="184" spans="1:16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 t="str">
        <f t="shared" si="6"/>
        <v/>
      </c>
      <c r="N184" s="7" t="str">
        <f t="shared" si="7"/>
        <v/>
      </c>
      <c r="O184" s="7"/>
      <c r="P184" s="8" t="str">
        <f t="shared" si="8"/>
        <v/>
      </c>
    </row>
    <row r="185" spans="1:16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 t="str">
        <f t="shared" si="6"/>
        <v/>
      </c>
      <c r="N185" s="7" t="str">
        <f t="shared" si="7"/>
        <v/>
      </c>
      <c r="O185" s="7"/>
      <c r="P185" s="8" t="str">
        <f t="shared" si="8"/>
        <v/>
      </c>
    </row>
    <row r="186" spans="1:16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 t="str">
        <f t="shared" si="6"/>
        <v/>
      </c>
      <c r="N186" s="7" t="str">
        <f t="shared" si="7"/>
        <v/>
      </c>
      <c r="O186" s="7"/>
      <c r="P186" s="8" t="str">
        <f t="shared" si="8"/>
        <v/>
      </c>
    </row>
    <row r="187" spans="1:16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 t="str">
        <f t="shared" si="6"/>
        <v/>
      </c>
      <c r="N187" s="7" t="str">
        <f t="shared" si="7"/>
        <v/>
      </c>
      <c r="O187" s="7"/>
      <c r="P187" s="8" t="str">
        <f t="shared" si="8"/>
        <v/>
      </c>
    </row>
    <row r="188" spans="1:16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8" t="str">
        <f t="shared" si="6"/>
        <v/>
      </c>
      <c r="N188" s="7" t="str">
        <f t="shared" si="7"/>
        <v/>
      </c>
      <c r="O188" s="7"/>
      <c r="P188" s="8" t="str">
        <f t="shared" si="8"/>
        <v/>
      </c>
    </row>
    <row r="189" spans="1:16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8" t="str">
        <f t="shared" si="6"/>
        <v/>
      </c>
      <c r="N189" s="7" t="str">
        <f t="shared" si="7"/>
        <v/>
      </c>
      <c r="O189" s="7"/>
      <c r="P189" s="8" t="str">
        <f t="shared" si="8"/>
        <v/>
      </c>
    </row>
    <row r="190" spans="1:16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8" t="str">
        <f t="shared" si="6"/>
        <v/>
      </c>
      <c r="N190" s="7" t="str">
        <f t="shared" si="7"/>
        <v/>
      </c>
      <c r="O190" s="7"/>
      <c r="P190" s="8" t="str">
        <f t="shared" si="8"/>
        <v/>
      </c>
    </row>
    <row r="191" spans="1:16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8" t="str">
        <f t="shared" si="6"/>
        <v/>
      </c>
      <c r="N191" s="7" t="str">
        <f t="shared" si="7"/>
        <v/>
      </c>
      <c r="O191" s="7"/>
      <c r="P191" s="8" t="str">
        <f t="shared" si="8"/>
        <v/>
      </c>
    </row>
    <row r="192" spans="1:16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8" t="str">
        <f t="shared" si="6"/>
        <v/>
      </c>
      <c r="N192" s="7" t="str">
        <f t="shared" si="7"/>
        <v/>
      </c>
      <c r="O192" s="7"/>
      <c r="P192" s="8" t="str">
        <f t="shared" si="8"/>
        <v/>
      </c>
    </row>
    <row r="193" spans="1:16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 t="str">
        <f t="shared" si="6"/>
        <v/>
      </c>
      <c r="N193" s="7" t="str">
        <f t="shared" si="7"/>
        <v/>
      </c>
      <c r="O193" s="7"/>
      <c r="P193" s="8" t="str">
        <f t="shared" si="8"/>
        <v/>
      </c>
    </row>
    <row r="194" spans="1:16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 t="str">
        <f t="shared" ref="M194:M257" si="9">IF($A194="","",SUM($C194:$L194))</f>
        <v/>
      </c>
      <c r="N194" s="7" t="str">
        <f t="shared" ref="N194:N257" si="10">IF($A194="","",SUM($C194:$L194))</f>
        <v/>
      </c>
      <c r="O194" s="7"/>
      <c r="P194" s="8" t="str">
        <f t="shared" ref="P194:P257" si="11">IF($A194="","",$M194-$N194-$O194)</f>
        <v/>
      </c>
    </row>
    <row r="195" spans="1:16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 t="str">
        <f t="shared" si="9"/>
        <v/>
      </c>
      <c r="N195" s="7" t="str">
        <f t="shared" si="10"/>
        <v/>
      </c>
      <c r="O195" s="7"/>
      <c r="P195" s="8" t="str">
        <f t="shared" si="11"/>
        <v/>
      </c>
    </row>
    <row r="196" spans="1:16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 t="str">
        <f t="shared" si="9"/>
        <v/>
      </c>
      <c r="N196" s="7" t="str">
        <f t="shared" si="10"/>
        <v/>
      </c>
      <c r="O196" s="7"/>
      <c r="P196" s="8" t="str">
        <f t="shared" si="11"/>
        <v/>
      </c>
    </row>
    <row r="197" spans="1:16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 t="str">
        <f t="shared" si="9"/>
        <v/>
      </c>
      <c r="N197" s="7" t="str">
        <f t="shared" si="10"/>
        <v/>
      </c>
      <c r="O197" s="7"/>
      <c r="P197" s="8" t="str">
        <f t="shared" si="11"/>
        <v/>
      </c>
    </row>
    <row r="198" spans="1:16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 t="str">
        <f t="shared" si="9"/>
        <v/>
      </c>
      <c r="N198" s="7" t="str">
        <f t="shared" si="10"/>
        <v/>
      </c>
      <c r="O198" s="7"/>
      <c r="P198" s="8" t="str">
        <f t="shared" si="11"/>
        <v/>
      </c>
    </row>
    <row r="199" spans="1:16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8" t="str">
        <f t="shared" si="9"/>
        <v/>
      </c>
      <c r="N199" s="7" t="str">
        <f t="shared" si="10"/>
        <v/>
      </c>
      <c r="O199" s="7"/>
      <c r="P199" s="8" t="str">
        <f t="shared" si="11"/>
        <v/>
      </c>
    </row>
    <row r="200" spans="1:16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8" t="str">
        <f t="shared" si="9"/>
        <v/>
      </c>
      <c r="N200" s="7" t="str">
        <f t="shared" si="10"/>
        <v/>
      </c>
      <c r="O200" s="7"/>
      <c r="P200" s="8" t="str">
        <f t="shared" si="11"/>
        <v/>
      </c>
    </row>
    <row r="201" spans="1:16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8" t="str">
        <f t="shared" si="9"/>
        <v/>
      </c>
      <c r="N201" s="7" t="str">
        <f t="shared" si="10"/>
        <v/>
      </c>
      <c r="O201" s="7"/>
      <c r="P201" s="8" t="str">
        <f t="shared" si="11"/>
        <v/>
      </c>
    </row>
    <row r="202" spans="1:16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8" t="str">
        <f t="shared" si="9"/>
        <v/>
      </c>
      <c r="N202" s="7" t="str">
        <f t="shared" si="10"/>
        <v/>
      </c>
      <c r="O202" s="7"/>
      <c r="P202" s="8" t="str">
        <f t="shared" si="11"/>
        <v/>
      </c>
    </row>
    <row r="203" spans="1:16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8" t="str">
        <f t="shared" si="9"/>
        <v/>
      </c>
      <c r="N203" s="7" t="str">
        <f t="shared" si="10"/>
        <v/>
      </c>
      <c r="O203" s="7"/>
      <c r="P203" s="8" t="str">
        <f t="shared" si="11"/>
        <v/>
      </c>
    </row>
    <row r="204" spans="1:16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 t="str">
        <f t="shared" si="9"/>
        <v/>
      </c>
      <c r="N204" s="7" t="str">
        <f t="shared" si="10"/>
        <v/>
      </c>
      <c r="O204" s="7"/>
      <c r="P204" s="8" t="str">
        <f t="shared" si="11"/>
        <v/>
      </c>
    </row>
    <row r="205" spans="1:16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 t="str">
        <f t="shared" si="9"/>
        <v/>
      </c>
      <c r="N205" s="7" t="str">
        <f t="shared" si="10"/>
        <v/>
      </c>
      <c r="O205" s="7"/>
      <c r="P205" s="8" t="str">
        <f t="shared" si="11"/>
        <v/>
      </c>
    </row>
    <row r="206" spans="1:16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 t="str">
        <f t="shared" si="9"/>
        <v/>
      </c>
      <c r="N206" s="7" t="str">
        <f t="shared" si="10"/>
        <v/>
      </c>
      <c r="O206" s="7"/>
      <c r="P206" s="8" t="str">
        <f t="shared" si="11"/>
        <v/>
      </c>
    </row>
    <row r="207" spans="1:16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 t="str">
        <f t="shared" si="9"/>
        <v/>
      </c>
      <c r="N207" s="7" t="str">
        <f t="shared" si="10"/>
        <v/>
      </c>
      <c r="O207" s="7"/>
      <c r="P207" s="8" t="str">
        <f t="shared" si="11"/>
        <v/>
      </c>
    </row>
    <row r="208" spans="1:16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 t="str">
        <f t="shared" si="9"/>
        <v/>
      </c>
      <c r="N208" s="7" t="str">
        <f t="shared" si="10"/>
        <v/>
      </c>
      <c r="O208" s="7"/>
      <c r="P208" s="8" t="str">
        <f t="shared" si="11"/>
        <v/>
      </c>
    </row>
    <row r="209" spans="1:16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 t="str">
        <f t="shared" si="9"/>
        <v/>
      </c>
      <c r="N209" s="7" t="str">
        <f t="shared" si="10"/>
        <v/>
      </c>
      <c r="O209" s="7"/>
      <c r="P209" s="8" t="str">
        <f t="shared" si="11"/>
        <v/>
      </c>
    </row>
    <row r="210" spans="1:16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8" t="str">
        <f t="shared" si="9"/>
        <v/>
      </c>
      <c r="N210" s="7" t="str">
        <f t="shared" si="10"/>
        <v/>
      </c>
      <c r="O210" s="7"/>
      <c r="P210" s="8" t="str">
        <f t="shared" si="11"/>
        <v/>
      </c>
    </row>
    <row r="211" spans="1:16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8" t="str">
        <f t="shared" si="9"/>
        <v/>
      </c>
      <c r="N211" s="7" t="str">
        <f t="shared" si="10"/>
        <v/>
      </c>
      <c r="O211" s="7"/>
      <c r="P211" s="8" t="str">
        <f t="shared" si="11"/>
        <v/>
      </c>
    </row>
    <row r="212" spans="1:16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8" t="str">
        <f t="shared" si="9"/>
        <v/>
      </c>
      <c r="N212" s="7" t="str">
        <f t="shared" si="10"/>
        <v/>
      </c>
      <c r="O212" s="7"/>
      <c r="P212" s="8" t="str">
        <f t="shared" si="11"/>
        <v/>
      </c>
    </row>
    <row r="213" spans="1:16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8" t="str">
        <f t="shared" si="9"/>
        <v/>
      </c>
      <c r="N213" s="7" t="str">
        <f t="shared" si="10"/>
        <v/>
      </c>
      <c r="O213" s="7"/>
      <c r="P213" s="8" t="str">
        <f t="shared" si="11"/>
        <v/>
      </c>
    </row>
    <row r="214" spans="1:16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8" t="str">
        <f t="shared" si="9"/>
        <v/>
      </c>
      <c r="N214" s="7" t="str">
        <f t="shared" si="10"/>
        <v/>
      </c>
      <c r="O214" s="7"/>
      <c r="P214" s="8" t="str">
        <f t="shared" si="11"/>
        <v/>
      </c>
    </row>
    <row r="215" spans="1:16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 t="str">
        <f t="shared" si="9"/>
        <v/>
      </c>
      <c r="N215" s="7" t="str">
        <f t="shared" si="10"/>
        <v/>
      </c>
      <c r="O215" s="7"/>
      <c r="P215" s="8" t="str">
        <f t="shared" si="11"/>
        <v/>
      </c>
    </row>
    <row r="216" spans="1:16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 t="str">
        <f t="shared" si="9"/>
        <v/>
      </c>
      <c r="N216" s="7" t="str">
        <f t="shared" si="10"/>
        <v/>
      </c>
      <c r="O216" s="7"/>
      <c r="P216" s="8" t="str">
        <f t="shared" si="11"/>
        <v/>
      </c>
    </row>
    <row r="217" spans="1:16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 t="str">
        <f t="shared" si="9"/>
        <v/>
      </c>
      <c r="N217" s="7" t="str">
        <f t="shared" si="10"/>
        <v/>
      </c>
      <c r="O217" s="7"/>
      <c r="P217" s="8" t="str">
        <f t="shared" si="11"/>
        <v/>
      </c>
    </row>
    <row r="218" spans="1:16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 t="str">
        <f t="shared" si="9"/>
        <v/>
      </c>
      <c r="N218" s="7" t="str">
        <f t="shared" si="10"/>
        <v/>
      </c>
      <c r="O218" s="7"/>
      <c r="P218" s="8" t="str">
        <f t="shared" si="11"/>
        <v/>
      </c>
    </row>
    <row r="219" spans="1:16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 t="str">
        <f t="shared" si="9"/>
        <v/>
      </c>
      <c r="N219" s="7" t="str">
        <f t="shared" si="10"/>
        <v/>
      </c>
      <c r="O219" s="7"/>
      <c r="P219" s="8" t="str">
        <f t="shared" si="11"/>
        <v/>
      </c>
    </row>
    <row r="220" spans="1:16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 t="str">
        <f t="shared" si="9"/>
        <v/>
      </c>
      <c r="N220" s="7" t="str">
        <f t="shared" si="10"/>
        <v/>
      </c>
      <c r="O220" s="7"/>
      <c r="P220" s="8" t="str">
        <f t="shared" si="11"/>
        <v/>
      </c>
    </row>
    <row r="221" spans="1:16">
      <c r="A221" s="6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8" t="str">
        <f t="shared" si="9"/>
        <v/>
      </c>
      <c r="N221" s="7" t="str">
        <f t="shared" si="10"/>
        <v/>
      </c>
      <c r="O221" s="7"/>
      <c r="P221" s="8" t="str">
        <f t="shared" si="11"/>
        <v/>
      </c>
    </row>
    <row r="222" spans="1:16">
      <c r="A222" s="6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8" t="str">
        <f t="shared" si="9"/>
        <v/>
      </c>
      <c r="N222" s="7" t="str">
        <f t="shared" si="10"/>
        <v/>
      </c>
      <c r="O222" s="7"/>
      <c r="P222" s="8" t="str">
        <f t="shared" si="11"/>
        <v/>
      </c>
    </row>
    <row r="223" spans="1:16">
      <c r="A223" s="6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8" t="str">
        <f t="shared" si="9"/>
        <v/>
      </c>
      <c r="N223" s="7" t="str">
        <f t="shared" si="10"/>
        <v/>
      </c>
      <c r="O223" s="7"/>
      <c r="P223" s="8" t="str">
        <f t="shared" si="11"/>
        <v/>
      </c>
    </row>
    <row r="224" spans="1:16">
      <c r="A224" s="6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8" t="str">
        <f t="shared" si="9"/>
        <v/>
      </c>
      <c r="N224" s="7" t="str">
        <f t="shared" si="10"/>
        <v/>
      </c>
      <c r="O224" s="7"/>
      <c r="P224" s="8" t="str">
        <f t="shared" si="11"/>
        <v/>
      </c>
    </row>
    <row r="225" spans="1:16">
      <c r="A225" s="6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8" t="str">
        <f t="shared" si="9"/>
        <v/>
      </c>
      <c r="N225" s="7" t="str">
        <f t="shared" si="10"/>
        <v/>
      </c>
      <c r="O225" s="7"/>
      <c r="P225" s="8" t="str">
        <f t="shared" si="11"/>
        <v/>
      </c>
    </row>
    <row r="226" spans="1:16">
      <c r="A226" s="6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 t="str">
        <f t="shared" si="9"/>
        <v/>
      </c>
      <c r="N226" s="7" t="str">
        <f t="shared" si="10"/>
        <v/>
      </c>
      <c r="O226" s="7"/>
      <c r="P226" s="8" t="str">
        <f t="shared" si="11"/>
        <v/>
      </c>
    </row>
    <row r="227" spans="1:16">
      <c r="A227" s="6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 t="str">
        <f t="shared" si="9"/>
        <v/>
      </c>
      <c r="N227" s="7" t="str">
        <f t="shared" si="10"/>
        <v/>
      </c>
      <c r="O227" s="7"/>
      <c r="P227" s="8" t="str">
        <f t="shared" si="11"/>
        <v/>
      </c>
    </row>
    <row r="228" spans="1:16">
      <c r="A228" s="6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 t="str">
        <f t="shared" si="9"/>
        <v/>
      </c>
      <c r="N228" s="7" t="str">
        <f t="shared" si="10"/>
        <v/>
      </c>
      <c r="O228" s="7"/>
      <c r="P228" s="8" t="str">
        <f t="shared" si="11"/>
        <v/>
      </c>
    </row>
    <row r="229" spans="1:16">
      <c r="A229" s="6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 t="str">
        <f t="shared" si="9"/>
        <v/>
      </c>
      <c r="N229" s="7" t="str">
        <f t="shared" si="10"/>
        <v/>
      </c>
      <c r="O229" s="7"/>
      <c r="P229" s="8" t="str">
        <f t="shared" si="11"/>
        <v/>
      </c>
    </row>
    <row r="230" spans="1:16">
      <c r="A230" s="6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 t="str">
        <f t="shared" si="9"/>
        <v/>
      </c>
      <c r="N230" s="7" t="str">
        <f t="shared" si="10"/>
        <v/>
      </c>
      <c r="O230" s="7"/>
      <c r="P230" s="8" t="str">
        <f t="shared" si="11"/>
        <v/>
      </c>
    </row>
    <row r="231" spans="1:16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 t="str">
        <f t="shared" si="9"/>
        <v/>
      </c>
      <c r="N231" s="7" t="str">
        <f t="shared" si="10"/>
        <v/>
      </c>
      <c r="O231" s="7"/>
      <c r="P231" s="8" t="str">
        <f t="shared" si="11"/>
        <v/>
      </c>
    </row>
    <row r="232" spans="1:16">
      <c r="A232" s="6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8" t="str">
        <f t="shared" si="9"/>
        <v/>
      </c>
      <c r="N232" s="7" t="str">
        <f t="shared" si="10"/>
        <v/>
      </c>
      <c r="O232" s="7"/>
      <c r="P232" s="8" t="str">
        <f t="shared" si="11"/>
        <v/>
      </c>
    </row>
    <row r="233" spans="1:16">
      <c r="A233" s="6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8" t="str">
        <f t="shared" si="9"/>
        <v/>
      </c>
      <c r="N233" s="7" t="str">
        <f t="shared" si="10"/>
        <v/>
      </c>
      <c r="O233" s="7"/>
      <c r="P233" s="8" t="str">
        <f t="shared" si="11"/>
        <v/>
      </c>
    </row>
    <row r="234" spans="1:16">
      <c r="A234" s="6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8" t="str">
        <f t="shared" si="9"/>
        <v/>
      </c>
      <c r="N234" s="7" t="str">
        <f t="shared" si="10"/>
        <v/>
      </c>
      <c r="O234" s="7"/>
      <c r="P234" s="8" t="str">
        <f t="shared" si="11"/>
        <v/>
      </c>
    </row>
    <row r="235" spans="1:16">
      <c r="A235" s="6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8" t="str">
        <f t="shared" si="9"/>
        <v/>
      </c>
      <c r="N235" s="7" t="str">
        <f t="shared" si="10"/>
        <v/>
      </c>
      <c r="O235" s="7"/>
      <c r="P235" s="8" t="str">
        <f t="shared" si="11"/>
        <v/>
      </c>
    </row>
    <row r="236" spans="1:16">
      <c r="A236" s="6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8" t="str">
        <f t="shared" si="9"/>
        <v/>
      </c>
      <c r="N236" s="7" t="str">
        <f t="shared" si="10"/>
        <v/>
      </c>
      <c r="O236" s="7"/>
      <c r="P236" s="8" t="str">
        <f t="shared" si="11"/>
        <v/>
      </c>
    </row>
    <row r="237" spans="1:16">
      <c r="A237" s="6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 t="str">
        <f t="shared" si="9"/>
        <v/>
      </c>
      <c r="N237" s="7" t="str">
        <f t="shared" si="10"/>
        <v/>
      </c>
      <c r="O237" s="7"/>
      <c r="P237" s="8" t="str">
        <f t="shared" si="11"/>
        <v/>
      </c>
    </row>
    <row r="238" spans="1:16">
      <c r="A238" s="6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 t="str">
        <f t="shared" si="9"/>
        <v/>
      </c>
      <c r="N238" s="7" t="str">
        <f t="shared" si="10"/>
        <v/>
      </c>
      <c r="O238" s="7"/>
      <c r="P238" s="8" t="str">
        <f t="shared" si="11"/>
        <v/>
      </c>
    </row>
    <row r="239" spans="1:16">
      <c r="A239" s="6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 t="str">
        <f t="shared" si="9"/>
        <v/>
      </c>
      <c r="N239" s="7" t="str">
        <f t="shared" si="10"/>
        <v/>
      </c>
      <c r="O239" s="7"/>
      <c r="P239" s="8" t="str">
        <f t="shared" si="11"/>
        <v/>
      </c>
    </row>
    <row r="240" spans="1:16">
      <c r="A240" s="6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 t="str">
        <f t="shared" si="9"/>
        <v/>
      </c>
      <c r="N240" s="7" t="str">
        <f t="shared" si="10"/>
        <v/>
      </c>
      <c r="O240" s="7"/>
      <c r="P240" s="8" t="str">
        <f t="shared" si="11"/>
        <v/>
      </c>
    </row>
    <row r="241" spans="1:16">
      <c r="A241" s="6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 t="str">
        <f t="shared" si="9"/>
        <v/>
      </c>
      <c r="N241" s="7" t="str">
        <f t="shared" si="10"/>
        <v/>
      </c>
      <c r="O241" s="7"/>
      <c r="P241" s="8" t="str">
        <f t="shared" si="11"/>
        <v/>
      </c>
    </row>
    <row r="242" spans="1:16">
      <c r="A242" s="6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 t="str">
        <f t="shared" si="9"/>
        <v/>
      </c>
      <c r="N242" s="7" t="str">
        <f t="shared" si="10"/>
        <v/>
      </c>
      <c r="O242" s="7"/>
      <c r="P242" s="8" t="str">
        <f t="shared" si="11"/>
        <v/>
      </c>
    </row>
    <row r="243" spans="1:16">
      <c r="A243" s="6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8" t="str">
        <f t="shared" si="9"/>
        <v/>
      </c>
      <c r="N243" s="7" t="str">
        <f t="shared" si="10"/>
        <v/>
      </c>
      <c r="O243" s="7"/>
      <c r="P243" s="8" t="str">
        <f t="shared" si="11"/>
        <v/>
      </c>
    </row>
    <row r="244" spans="1:16">
      <c r="A244" s="6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8" t="str">
        <f t="shared" si="9"/>
        <v/>
      </c>
      <c r="N244" s="7" t="str">
        <f t="shared" si="10"/>
        <v/>
      </c>
      <c r="O244" s="7"/>
      <c r="P244" s="8" t="str">
        <f t="shared" si="11"/>
        <v/>
      </c>
    </row>
    <row r="245" spans="1:16">
      <c r="A245" s="6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8" t="str">
        <f t="shared" si="9"/>
        <v/>
      </c>
      <c r="N245" s="7" t="str">
        <f t="shared" si="10"/>
        <v/>
      </c>
      <c r="O245" s="7"/>
      <c r="P245" s="8" t="str">
        <f t="shared" si="11"/>
        <v/>
      </c>
    </row>
    <row r="246" spans="1:16">
      <c r="A246" s="6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8" t="str">
        <f t="shared" si="9"/>
        <v/>
      </c>
      <c r="N246" s="7" t="str">
        <f t="shared" si="10"/>
        <v/>
      </c>
      <c r="O246" s="7"/>
      <c r="P246" s="8" t="str">
        <f t="shared" si="11"/>
        <v/>
      </c>
    </row>
    <row r="247" spans="1:16">
      <c r="A247" s="6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8" t="str">
        <f t="shared" si="9"/>
        <v/>
      </c>
      <c r="N247" s="7" t="str">
        <f t="shared" si="10"/>
        <v/>
      </c>
      <c r="O247" s="7"/>
      <c r="P247" s="8" t="str">
        <f t="shared" si="11"/>
        <v/>
      </c>
    </row>
    <row r="248" spans="1:16">
      <c r="A248" s="6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 t="str">
        <f t="shared" si="9"/>
        <v/>
      </c>
      <c r="N248" s="7" t="str">
        <f t="shared" si="10"/>
        <v/>
      </c>
      <c r="O248" s="7"/>
      <c r="P248" s="8" t="str">
        <f t="shared" si="11"/>
        <v/>
      </c>
    </row>
    <row r="249" spans="1:16">
      <c r="A249" s="6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 t="str">
        <f t="shared" si="9"/>
        <v/>
      </c>
      <c r="N249" s="7" t="str">
        <f t="shared" si="10"/>
        <v/>
      </c>
      <c r="O249" s="7"/>
      <c r="P249" s="8" t="str">
        <f t="shared" si="11"/>
        <v/>
      </c>
    </row>
    <row r="250" spans="1:16">
      <c r="A250" s="6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 t="str">
        <f t="shared" si="9"/>
        <v/>
      </c>
      <c r="N250" s="7" t="str">
        <f t="shared" si="10"/>
        <v/>
      </c>
      <c r="O250" s="7"/>
      <c r="P250" s="8" t="str">
        <f t="shared" si="11"/>
        <v/>
      </c>
    </row>
    <row r="251" spans="1:16">
      <c r="A251" s="6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 t="str">
        <f t="shared" si="9"/>
        <v/>
      </c>
      <c r="N251" s="7" t="str">
        <f t="shared" si="10"/>
        <v/>
      </c>
      <c r="O251" s="7"/>
      <c r="P251" s="8" t="str">
        <f t="shared" si="11"/>
        <v/>
      </c>
    </row>
    <row r="252" spans="1:16">
      <c r="A252" s="6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 t="str">
        <f t="shared" si="9"/>
        <v/>
      </c>
      <c r="N252" s="7" t="str">
        <f t="shared" si="10"/>
        <v/>
      </c>
      <c r="O252" s="7"/>
      <c r="P252" s="8" t="str">
        <f t="shared" si="11"/>
        <v/>
      </c>
    </row>
    <row r="253" spans="1:16">
      <c r="A253" s="6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 t="str">
        <f t="shared" si="9"/>
        <v/>
      </c>
      <c r="N253" s="7" t="str">
        <f t="shared" si="10"/>
        <v/>
      </c>
      <c r="O253" s="7"/>
      <c r="P253" s="8" t="str">
        <f t="shared" si="11"/>
        <v/>
      </c>
    </row>
    <row r="254" spans="1:16">
      <c r="A254" s="6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8" t="str">
        <f t="shared" si="9"/>
        <v/>
      </c>
      <c r="N254" s="7" t="str">
        <f t="shared" si="10"/>
        <v/>
      </c>
      <c r="O254" s="7"/>
      <c r="P254" s="8" t="str">
        <f t="shared" si="11"/>
        <v/>
      </c>
    </row>
    <row r="255" spans="1:16">
      <c r="A255" s="6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8" t="str">
        <f t="shared" si="9"/>
        <v/>
      </c>
      <c r="N255" s="7" t="str">
        <f t="shared" si="10"/>
        <v/>
      </c>
      <c r="O255" s="7"/>
      <c r="P255" s="8" t="str">
        <f t="shared" si="11"/>
        <v/>
      </c>
    </row>
    <row r="256" spans="1:16">
      <c r="A256" s="6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8" t="str">
        <f t="shared" si="9"/>
        <v/>
      </c>
      <c r="N256" s="7" t="str">
        <f t="shared" si="10"/>
        <v/>
      </c>
      <c r="O256" s="7"/>
      <c r="P256" s="8" t="str">
        <f t="shared" si="11"/>
        <v/>
      </c>
    </row>
    <row r="257" spans="1:16">
      <c r="A257" s="6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8" t="str">
        <f t="shared" si="9"/>
        <v/>
      </c>
      <c r="N257" s="7" t="str">
        <f t="shared" si="10"/>
        <v/>
      </c>
      <c r="O257" s="7"/>
      <c r="P257" s="8" t="str">
        <f t="shared" si="11"/>
        <v/>
      </c>
    </row>
    <row r="258" spans="1:16">
      <c r="A258" s="6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8" t="str">
        <f t="shared" ref="M258:M321" si="12">IF($A258="","",SUM($C258:$L258))</f>
        <v/>
      </c>
      <c r="N258" s="7" t="str">
        <f t="shared" ref="N258:N321" si="13">IF($A258="","",SUM($C258:$L258))</f>
        <v/>
      </c>
      <c r="O258" s="7"/>
      <c r="P258" s="8" t="str">
        <f t="shared" ref="P258:P321" si="14">IF($A258="","",$M258-$N258-$O258)</f>
        <v/>
      </c>
    </row>
    <row r="259" spans="1:16">
      <c r="A259" s="6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 t="str">
        <f t="shared" si="12"/>
        <v/>
      </c>
      <c r="N259" s="7" t="str">
        <f t="shared" si="13"/>
        <v/>
      </c>
      <c r="O259" s="7"/>
      <c r="P259" s="8" t="str">
        <f t="shared" si="14"/>
        <v/>
      </c>
    </row>
    <row r="260" spans="1:16">
      <c r="A260" s="6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 t="str">
        <f t="shared" si="12"/>
        <v/>
      </c>
      <c r="N260" s="7" t="str">
        <f t="shared" si="13"/>
        <v/>
      </c>
      <c r="O260" s="7"/>
      <c r="P260" s="8" t="str">
        <f t="shared" si="14"/>
        <v/>
      </c>
    </row>
    <row r="261" spans="1:16">
      <c r="A261" s="6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 t="str">
        <f t="shared" si="12"/>
        <v/>
      </c>
      <c r="N261" s="7" t="str">
        <f t="shared" si="13"/>
        <v/>
      </c>
      <c r="O261" s="7"/>
      <c r="P261" s="8" t="str">
        <f t="shared" si="14"/>
        <v/>
      </c>
    </row>
    <row r="262" spans="1:16">
      <c r="A262" s="6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 t="str">
        <f t="shared" si="12"/>
        <v/>
      </c>
      <c r="N262" s="7" t="str">
        <f t="shared" si="13"/>
        <v/>
      </c>
      <c r="O262" s="7"/>
      <c r="P262" s="8" t="str">
        <f t="shared" si="14"/>
        <v/>
      </c>
    </row>
    <row r="263" spans="1:16">
      <c r="A263" s="6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 t="str">
        <f t="shared" si="12"/>
        <v/>
      </c>
      <c r="N263" s="7" t="str">
        <f t="shared" si="13"/>
        <v/>
      </c>
      <c r="O263" s="7"/>
      <c r="P263" s="8" t="str">
        <f t="shared" si="14"/>
        <v/>
      </c>
    </row>
    <row r="264" spans="1:16">
      <c r="A264" s="6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 t="str">
        <f t="shared" si="12"/>
        <v/>
      </c>
      <c r="N264" s="7" t="str">
        <f t="shared" si="13"/>
        <v/>
      </c>
      <c r="O264" s="7"/>
      <c r="P264" s="8" t="str">
        <f t="shared" si="14"/>
        <v/>
      </c>
    </row>
    <row r="265" spans="1:16">
      <c r="A265" s="6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8" t="str">
        <f t="shared" si="12"/>
        <v/>
      </c>
      <c r="N265" s="7" t="str">
        <f t="shared" si="13"/>
        <v/>
      </c>
      <c r="O265" s="7"/>
      <c r="P265" s="8" t="str">
        <f t="shared" si="14"/>
        <v/>
      </c>
    </row>
    <row r="266" spans="1:16">
      <c r="A266" s="6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8" t="str">
        <f t="shared" si="12"/>
        <v/>
      </c>
      <c r="N266" s="7" t="str">
        <f t="shared" si="13"/>
        <v/>
      </c>
      <c r="O266" s="7"/>
      <c r="P266" s="8" t="str">
        <f t="shared" si="14"/>
        <v/>
      </c>
    </row>
    <row r="267" spans="1:16">
      <c r="A267" s="6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8" t="str">
        <f t="shared" si="12"/>
        <v/>
      </c>
      <c r="N267" s="7" t="str">
        <f t="shared" si="13"/>
        <v/>
      </c>
      <c r="O267" s="7"/>
      <c r="P267" s="8" t="str">
        <f t="shared" si="14"/>
        <v/>
      </c>
    </row>
    <row r="268" spans="1:16">
      <c r="A268" s="6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8" t="str">
        <f t="shared" si="12"/>
        <v/>
      </c>
      <c r="N268" s="7" t="str">
        <f t="shared" si="13"/>
        <v/>
      </c>
      <c r="O268" s="7"/>
      <c r="P268" s="8" t="str">
        <f t="shared" si="14"/>
        <v/>
      </c>
    </row>
    <row r="269" spans="1:16">
      <c r="A269" s="6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8" t="str">
        <f t="shared" si="12"/>
        <v/>
      </c>
      <c r="N269" s="7" t="str">
        <f t="shared" si="13"/>
        <v/>
      </c>
      <c r="O269" s="7"/>
      <c r="P269" s="8" t="str">
        <f t="shared" si="14"/>
        <v/>
      </c>
    </row>
    <row r="270" spans="1:16">
      <c r="A270" s="6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 t="str">
        <f t="shared" si="12"/>
        <v/>
      </c>
      <c r="N270" s="7" t="str">
        <f t="shared" si="13"/>
        <v/>
      </c>
      <c r="O270" s="7"/>
      <c r="P270" s="8" t="str">
        <f t="shared" si="14"/>
        <v/>
      </c>
    </row>
    <row r="271" spans="1:16">
      <c r="A271" s="6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 t="str">
        <f t="shared" si="12"/>
        <v/>
      </c>
      <c r="N271" s="7" t="str">
        <f t="shared" si="13"/>
        <v/>
      </c>
      <c r="O271" s="7"/>
      <c r="P271" s="8" t="str">
        <f t="shared" si="14"/>
        <v/>
      </c>
    </row>
    <row r="272" spans="1:16">
      <c r="A272" s="6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 t="str">
        <f t="shared" si="12"/>
        <v/>
      </c>
      <c r="N272" s="7" t="str">
        <f t="shared" si="13"/>
        <v/>
      </c>
      <c r="O272" s="7"/>
      <c r="P272" s="8" t="str">
        <f t="shared" si="14"/>
        <v/>
      </c>
    </row>
    <row r="273" spans="1:16">
      <c r="A273" s="6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 t="str">
        <f t="shared" si="12"/>
        <v/>
      </c>
      <c r="N273" s="7" t="str">
        <f t="shared" si="13"/>
        <v/>
      </c>
      <c r="O273" s="7"/>
      <c r="P273" s="8" t="str">
        <f t="shared" si="14"/>
        <v/>
      </c>
    </row>
    <row r="274" spans="1:16">
      <c r="A274" s="6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 t="str">
        <f t="shared" si="12"/>
        <v/>
      </c>
      <c r="N274" s="7" t="str">
        <f t="shared" si="13"/>
        <v/>
      </c>
      <c r="O274" s="7"/>
      <c r="P274" s="8" t="str">
        <f t="shared" si="14"/>
        <v/>
      </c>
    </row>
    <row r="275" spans="1:16">
      <c r="A275" s="6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 t="str">
        <f t="shared" si="12"/>
        <v/>
      </c>
      <c r="N275" s="7" t="str">
        <f t="shared" si="13"/>
        <v/>
      </c>
      <c r="O275" s="7"/>
      <c r="P275" s="8" t="str">
        <f t="shared" si="14"/>
        <v/>
      </c>
    </row>
    <row r="276" spans="1:16">
      <c r="A276" s="6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8" t="str">
        <f t="shared" si="12"/>
        <v/>
      </c>
      <c r="N276" s="7" t="str">
        <f t="shared" si="13"/>
        <v/>
      </c>
      <c r="O276" s="7"/>
      <c r="P276" s="8" t="str">
        <f t="shared" si="14"/>
        <v/>
      </c>
    </row>
    <row r="277" spans="1:16">
      <c r="A277" s="6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8" t="str">
        <f t="shared" si="12"/>
        <v/>
      </c>
      <c r="N277" s="7" t="str">
        <f t="shared" si="13"/>
        <v/>
      </c>
      <c r="O277" s="7"/>
      <c r="P277" s="8" t="str">
        <f t="shared" si="14"/>
        <v/>
      </c>
    </row>
    <row r="278" spans="1:16">
      <c r="A278" s="6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8" t="str">
        <f t="shared" si="12"/>
        <v/>
      </c>
      <c r="N278" s="7" t="str">
        <f t="shared" si="13"/>
        <v/>
      </c>
      <c r="O278" s="7"/>
      <c r="P278" s="8" t="str">
        <f t="shared" si="14"/>
        <v/>
      </c>
    </row>
    <row r="279" spans="1:16">
      <c r="A279" s="6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8" t="str">
        <f t="shared" si="12"/>
        <v/>
      </c>
      <c r="N279" s="7" t="str">
        <f t="shared" si="13"/>
        <v/>
      </c>
      <c r="O279" s="7"/>
      <c r="P279" s="8" t="str">
        <f t="shared" si="14"/>
        <v/>
      </c>
    </row>
    <row r="280" spans="1:16">
      <c r="A280" s="6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8" t="str">
        <f t="shared" si="12"/>
        <v/>
      </c>
      <c r="N280" s="7" t="str">
        <f t="shared" si="13"/>
        <v/>
      </c>
      <c r="O280" s="7"/>
      <c r="P280" s="8" t="str">
        <f t="shared" si="14"/>
        <v/>
      </c>
    </row>
    <row r="281" spans="1:16">
      <c r="A281" s="6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 t="str">
        <f t="shared" si="12"/>
        <v/>
      </c>
      <c r="N281" s="7" t="str">
        <f t="shared" si="13"/>
        <v/>
      </c>
      <c r="O281" s="7"/>
      <c r="P281" s="8" t="str">
        <f t="shared" si="14"/>
        <v/>
      </c>
    </row>
    <row r="282" spans="1:16">
      <c r="A282" s="6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 t="str">
        <f t="shared" si="12"/>
        <v/>
      </c>
      <c r="N282" s="7" t="str">
        <f t="shared" si="13"/>
        <v/>
      </c>
      <c r="O282" s="7"/>
      <c r="P282" s="8" t="str">
        <f t="shared" si="14"/>
        <v/>
      </c>
    </row>
    <row r="283" spans="1:16">
      <c r="A283" s="6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 t="str">
        <f t="shared" si="12"/>
        <v/>
      </c>
      <c r="N283" s="7" t="str">
        <f t="shared" si="13"/>
        <v/>
      </c>
      <c r="O283" s="7"/>
      <c r="P283" s="8" t="str">
        <f t="shared" si="14"/>
        <v/>
      </c>
    </row>
    <row r="284" spans="1:16">
      <c r="A284" s="6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 t="str">
        <f t="shared" si="12"/>
        <v/>
      </c>
      <c r="N284" s="7" t="str">
        <f t="shared" si="13"/>
        <v/>
      </c>
      <c r="O284" s="7"/>
      <c r="P284" s="8" t="str">
        <f t="shared" si="14"/>
        <v/>
      </c>
    </row>
    <row r="285" spans="1:16">
      <c r="A285" s="6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 t="str">
        <f t="shared" si="12"/>
        <v/>
      </c>
      <c r="N285" s="7" t="str">
        <f t="shared" si="13"/>
        <v/>
      </c>
      <c r="O285" s="7"/>
      <c r="P285" s="8" t="str">
        <f t="shared" si="14"/>
        <v/>
      </c>
    </row>
    <row r="286" spans="1:16">
      <c r="A286" s="6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 t="str">
        <f t="shared" si="12"/>
        <v/>
      </c>
      <c r="N286" s="7" t="str">
        <f t="shared" si="13"/>
        <v/>
      </c>
      <c r="O286" s="7"/>
      <c r="P286" s="8" t="str">
        <f t="shared" si="14"/>
        <v/>
      </c>
    </row>
    <row r="287" spans="1:16">
      <c r="A287" s="6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8" t="str">
        <f t="shared" si="12"/>
        <v/>
      </c>
      <c r="N287" s="7" t="str">
        <f t="shared" si="13"/>
        <v/>
      </c>
      <c r="O287" s="7"/>
      <c r="P287" s="8" t="str">
        <f t="shared" si="14"/>
        <v/>
      </c>
    </row>
    <row r="288" spans="1:16">
      <c r="A288" s="6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 t="str">
        <f t="shared" si="12"/>
        <v/>
      </c>
      <c r="N288" s="7" t="str">
        <f t="shared" si="13"/>
        <v/>
      </c>
      <c r="O288" s="7"/>
      <c r="P288" s="8" t="str">
        <f t="shared" si="14"/>
        <v/>
      </c>
    </row>
    <row r="289" spans="1:16">
      <c r="A289" s="6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8" t="str">
        <f t="shared" si="12"/>
        <v/>
      </c>
      <c r="N289" s="7" t="str">
        <f t="shared" si="13"/>
        <v/>
      </c>
      <c r="O289" s="7"/>
      <c r="P289" s="8" t="str">
        <f t="shared" si="14"/>
        <v/>
      </c>
    </row>
    <row r="290" spans="1:16">
      <c r="A290" s="6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8" t="str">
        <f t="shared" si="12"/>
        <v/>
      </c>
      <c r="N290" s="7" t="str">
        <f t="shared" si="13"/>
        <v/>
      </c>
      <c r="O290" s="7"/>
      <c r="P290" s="8" t="str">
        <f t="shared" si="14"/>
        <v/>
      </c>
    </row>
    <row r="291" spans="1:16">
      <c r="A291" s="6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8" t="str">
        <f t="shared" si="12"/>
        <v/>
      </c>
      <c r="N291" s="7" t="str">
        <f t="shared" si="13"/>
        <v/>
      </c>
      <c r="O291" s="7"/>
      <c r="P291" s="8" t="str">
        <f t="shared" si="14"/>
        <v/>
      </c>
    </row>
    <row r="292" spans="1:16">
      <c r="A292" s="6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 t="str">
        <f t="shared" si="12"/>
        <v/>
      </c>
      <c r="N292" s="7" t="str">
        <f t="shared" si="13"/>
        <v/>
      </c>
      <c r="O292" s="7"/>
      <c r="P292" s="8" t="str">
        <f t="shared" si="14"/>
        <v/>
      </c>
    </row>
    <row r="293" spans="1:16">
      <c r="A293" s="6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 t="str">
        <f t="shared" si="12"/>
        <v/>
      </c>
      <c r="N293" s="7" t="str">
        <f t="shared" si="13"/>
        <v/>
      </c>
      <c r="O293" s="7"/>
      <c r="P293" s="8" t="str">
        <f t="shared" si="14"/>
        <v/>
      </c>
    </row>
    <row r="294" spans="1:16">
      <c r="A294" s="6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 t="str">
        <f t="shared" si="12"/>
        <v/>
      </c>
      <c r="N294" s="7" t="str">
        <f t="shared" si="13"/>
        <v/>
      </c>
      <c r="O294" s="7"/>
      <c r="P294" s="8" t="str">
        <f t="shared" si="14"/>
        <v/>
      </c>
    </row>
    <row r="295" spans="1:16">
      <c r="A295" s="6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 t="str">
        <f t="shared" si="12"/>
        <v/>
      </c>
      <c r="N295" s="7" t="str">
        <f t="shared" si="13"/>
        <v/>
      </c>
      <c r="O295" s="7"/>
      <c r="P295" s="8" t="str">
        <f t="shared" si="14"/>
        <v/>
      </c>
    </row>
    <row r="296" spans="1:16">
      <c r="A296" s="6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 t="str">
        <f t="shared" si="12"/>
        <v/>
      </c>
      <c r="N296" s="7" t="str">
        <f t="shared" si="13"/>
        <v/>
      </c>
      <c r="O296" s="7"/>
      <c r="P296" s="8" t="str">
        <f t="shared" si="14"/>
        <v/>
      </c>
    </row>
    <row r="297" spans="1:16">
      <c r="A297" s="6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 t="str">
        <f t="shared" si="12"/>
        <v/>
      </c>
      <c r="N297" s="7" t="str">
        <f t="shared" si="13"/>
        <v/>
      </c>
      <c r="O297" s="7"/>
      <c r="P297" s="8" t="str">
        <f t="shared" si="14"/>
        <v/>
      </c>
    </row>
    <row r="298" spans="1:16">
      <c r="A298" s="6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8" t="str">
        <f t="shared" si="12"/>
        <v/>
      </c>
      <c r="N298" s="7" t="str">
        <f t="shared" si="13"/>
        <v/>
      </c>
      <c r="O298" s="7"/>
      <c r="P298" s="8" t="str">
        <f t="shared" si="14"/>
        <v/>
      </c>
    </row>
    <row r="299" spans="1:16">
      <c r="A299" s="6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8" t="str">
        <f t="shared" si="12"/>
        <v/>
      </c>
      <c r="N299" s="7" t="str">
        <f t="shared" si="13"/>
        <v/>
      </c>
      <c r="O299" s="7"/>
      <c r="P299" s="8" t="str">
        <f t="shared" si="14"/>
        <v/>
      </c>
    </row>
    <row r="300" spans="1:16">
      <c r="A300" s="6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8" t="str">
        <f t="shared" si="12"/>
        <v/>
      </c>
      <c r="N300" s="7" t="str">
        <f t="shared" si="13"/>
        <v/>
      </c>
      <c r="O300" s="7"/>
      <c r="P300" s="8" t="str">
        <f t="shared" si="14"/>
        <v/>
      </c>
    </row>
    <row r="301" spans="1:16">
      <c r="A301" s="6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8" t="str">
        <f t="shared" si="12"/>
        <v/>
      </c>
      <c r="N301" s="7" t="str">
        <f t="shared" si="13"/>
        <v/>
      </c>
      <c r="O301" s="7"/>
      <c r="P301" s="8" t="str">
        <f t="shared" si="14"/>
        <v/>
      </c>
    </row>
    <row r="302" spans="1:16">
      <c r="A302" s="6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8" t="str">
        <f t="shared" si="12"/>
        <v/>
      </c>
      <c r="N302" s="7" t="str">
        <f t="shared" si="13"/>
        <v/>
      </c>
      <c r="O302" s="7"/>
      <c r="P302" s="8" t="str">
        <f t="shared" si="14"/>
        <v/>
      </c>
    </row>
    <row r="303" spans="1:16">
      <c r="A303" s="6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 t="str">
        <f t="shared" si="12"/>
        <v/>
      </c>
      <c r="N303" s="7" t="str">
        <f t="shared" si="13"/>
        <v/>
      </c>
      <c r="O303" s="7"/>
      <c r="P303" s="8" t="str">
        <f t="shared" si="14"/>
        <v/>
      </c>
    </row>
    <row r="304" spans="1:16">
      <c r="A304" s="6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 t="str">
        <f t="shared" si="12"/>
        <v/>
      </c>
      <c r="N304" s="7" t="str">
        <f t="shared" si="13"/>
        <v/>
      </c>
      <c r="O304" s="7"/>
      <c r="P304" s="8" t="str">
        <f t="shared" si="14"/>
        <v/>
      </c>
    </row>
    <row r="305" spans="1:16">
      <c r="A305" s="6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 t="str">
        <f t="shared" si="12"/>
        <v/>
      </c>
      <c r="N305" s="7" t="str">
        <f t="shared" si="13"/>
        <v/>
      </c>
      <c r="O305" s="7"/>
      <c r="P305" s="8" t="str">
        <f t="shared" si="14"/>
        <v/>
      </c>
    </row>
    <row r="306" spans="1:16">
      <c r="A306" s="6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 t="str">
        <f t="shared" si="12"/>
        <v/>
      </c>
      <c r="N306" s="7" t="str">
        <f t="shared" si="13"/>
        <v/>
      </c>
      <c r="O306" s="7"/>
      <c r="P306" s="8" t="str">
        <f t="shared" si="14"/>
        <v/>
      </c>
    </row>
    <row r="307" spans="1:16">
      <c r="A307" s="6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 t="str">
        <f t="shared" si="12"/>
        <v/>
      </c>
      <c r="N307" s="7" t="str">
        <f t="shared" si="13"/>
        <v/>
      </c>
      <c r="O307" s="7"/>
      <c r="P307" s="8" t="str">
        <f t="shared" si="14"/>
        <v/>
      </c>
    </row>
    <row r="308" spans="1:16">
      <c r="A308" s="6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 t="str">
        <f t="shared" si="12"/>
        <v/>
      </c>
      <c r="N308" s="7" t="str">
        <f t="shared" si="13"/>
        <v/>
      </c>
      <c r="O308" s="7"/>
      <c r="P308" s="8" t="str">
        <f t="shared" si="14"/>
        <v/>
      </c>
    </row>
    <row r="309" spans="1:16">
      <c r="A309" s="6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8" t="str">
        <f t="shared" si="12"/>
        <v/>
      </c>
      <c r="N309" s="7" t="str">
        <f t="shared" si="13"/>
        <v/>
      </c>
      <c r="O309" s="7"/>
      <c r="P309" s="8" t="str">
        <f t="shared" si="14"/>
        <v/>
      </c>
    </row>
    <row r="310" spans="1:16">
      <c r="A310" s="6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8" t="str">
        <f t="shared" si="12"/>
        <v/>
      </c>
      <c r="N310" s="7" t="str">
        <f t="shared" si="13"/>
        <v/>
      </c>
      <c r="O310" s="7"/>
      <c r="P310" s="8" t="str">
        <f t="shared" si="14"/>
        <v/>
      </c>
    </row>
    <row r="311" spans="1:16">
      <c r="A311" s="6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8" t="str">
        <f t="shared" si="12"/>
        <v/>
      </c>
      <c r="N311" s="7" t="str">
        <f t="shared" si="13"/>
        <v/>
      </c>
      <c r="O311" s="7"/>
      <c r="P311" s="8" t="str">
        <f t="shared" si="14"/>
        <v/>
      </c>
    </row>
    <row r="312" spans="1:16">
      <c r="A312" s="6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8" t="str">
        <f t="shared" si="12"/>
        <v/>
      </c>
      <c r="N312" s="7" t="str">
        <f t="shared" si="13"/>
        <v/>
      </c>
      <c r="O312" s="7"/>
      <c r="P312" s="8" t="str">
        <f t="shared" si="14"/>
        <v/>
      </c>
    </row>
    <row r="313" spans="1:16">
      <c r="A313" s="6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8" t="str">
        <f t="shared" si="12"/>
        <v/>
      </c>
      <c r="N313" s="7" t="str">
        <f t="shared" si="13"/>
        <v/>
      </c>
      <c r="O313" s="7"/>
      <c r="P313" s="8" t="str">
        <f t="shared" si="14"/>
        <v/>
      </c>
    </row>
    <row r="314" spans="1:16">
      <c r="A314" s="6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 t="str">
        <f t="shared" si="12"/>
        <v/>
      </c>
      <c r="N314" s="7" t="str">
        <f t="shared" si="13"/>
        <v/>
      </c>
      <c r="O314" s="7"/>
      <c r="P314" s="8" t="str">
        <f t="shared" si="14"/>
        <v/>
      </c>
    </row>
    <row r="315" spans="1:16">
      <c r="A315" s="6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 t="str">
        <f t="shared" si="12"/>
        <v/>
      </c>
      <c r="N315" s="7" t="str">
        <f t="shared" si="13"/>
        <v/>
      </c>
      <c r="O315" s="7"/>
      <c r="P315" s="8" t="str">
        <f t="shared" si="14"/>
        <v/>
      </c>
    </row>
    <row r="316" spans="1:16">
      <c r="A316" s="6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 t="str">
        <f t="shared" si="12"/>
        <v/>
      </c>
      <c r="N316" s="7" t="str">
        <f t="shared" si="13"/>
        <v/>
      </c>
      <c r="O316" s="7"/>
      <c r="P316" s="8" t="str">
        <f t="shared" si="14"/>
        <v/>
      </c>
    </row>
    <row r="317" spans="1:16">
      <c r="A317" s="6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 t="str">
        <f t="shared" si="12"/>
        <v/>
      </c>
      <c r="N317" s="7" t="str">
        <f t="shared" si="13"/>
        <v/>
      </c>
      <c r="O317" s="7"/>
      <c r="P317" s="8" t="str">
        <f t="shared" si="14"/>
        <v/>
      </c>
    </row>
    <row r="318" spans="1:16">
      <c r="A318" s="6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 t="str">
        <f t="shared" si="12"/>
        <v/>
      </c>
      <c r="N318" s="7" t="str">
        <f t="shared" si="13"/>
        <v/>
      </c>
      <c r="O318" s="7"/>
      <c r="P318" s="8" t="str">
        <f t="shared" si="14"/>
        <v/>
      </c>
    </row>
    <row r="319" spans="1:16">
      <c r="A319" s="6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 t="str">
        <f t="shared" si="12"/>
        <v/>
      </c>
      <c r="N319" s="7" t="str">
        <f t="shared" si="13"/>
        <v/>
      </c>
      <c r="O319" s="7"/>
      <c r="P319" s="8" t="str">
        <f t="shared" si="14"/>
        <v/>
      </c>
    </row>
    <row r="320" spans="1:16">
      <c r="A320" s="6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8" t="str">
        <f t="shared" si="12"/>
        <v/>
      </c>
      <c r="N320" s="7" t="str">
        <f t="shared" si="13"/>
        <v/>
      </c>
      <c r="O320" s="7"/>
      <c r="P320" s="8" t="str">
        <f t="shared" si="14"/>
        <v/>
      </c>
    </row>
    <row r="321" spans="1:16">
      <c r="A321" s="6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8" t="str">
        <f t="shared" si="12"/>
        <v/>
      </c>
      <c r="N321" s="7" t="str">
        <f t="shared" si="13"/>
        <v/>
      </c>
      <c r="O321" s="7"/>
      <c r="P321" s="8" t="str">
        <f t="shared" si="14"/>
        <v/>
      </c>
    </row>
    <row r="322" spans="1:16">
      <c r="A322" s="6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8" t="str">
        <f t="shared" ref="M322:M385" si="15">IF($A322="","",SUM($C322:$L322))</f>
        <v/>
      </c>
      <c r="N322" s="7" t="str">
        <f t="shared" ref="N322:N385" si="16">IF($A322="","",SUM($C322:$L322))</f>
        <v/>
      </c>
      <c r="O322" s="7"/>
      <c r="P322" s="8" t="str">
        <f t="shared" ref="P322:P385" si="17">IF($A322="","",$M322-$N322-$O322)</f>
        <v/>
      </c>
    </row>
    <row r="323" spans="1:16">
      <c r="A323" s="6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8" t="str">
        <f t="shared" si="15"/>
        <v/>
      </c>
      <c r="N323" s="7" t="str">
        <f t="shared" si="16"/>
        <v/>
      </c>
      <c r="O323" s="7"/>
      <c r="P323" s="8" t="str">
        <f t="shared" si="17"/>
        <v/>
      </c>
    </row>
    <row r="324" spans="1:16">
      <c r="A324" s="6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8" t="str">
        <f t="shared" si="15"/>
        <v/>
      </c>
      <c r="N324" s="7" t="str">
        <f t="shared" si="16"/>
        <v/>
      </c>
      <c r="O324" s="7"/>
      <c r="P324" s="8" t="str">
        <f t="shared" si="17"/>
        <v/>
      </c>
    </row>
    <row r="325" spans="1:16">
      <c r="A325" s="6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 t="str">
        <f t="shared" si="15"/>
        <v/>
      </c>
      <c r="N325" s="7" t="str">
        <f t="shared" si="16"/>
        <v/>
      </c>
      <c r="O325" s="7"/>
      <c r="P325" s="8" t="str">
        <f t="shared" si="17"/>
        <v/>
      </c>
    </row>
    <row r="326" spans="1:16">
      <c r="A326" s="6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 t="str">
        <f t="shared" si="15"/>
        <v/>
      </c>
      <c r="N326" s="7" t="str">
        <f t="shared" si="16"/>
        <v/>
      </c>
      <c r="O326" s="7"/>
      <c r="P326" s="8" t="str">
        <f t="shared" si="17"/>
        <v/>
      </c>
    </row>
    <row r="327" spans="1:16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 t="str">
        <f t="shared" si="15"/>
        <v/>
      </c>
      <c r="N327" s="7" t="str">
        <f t="shared" si="16"/>
        <v/>
      </c>
      <c r="O327" s="7"/>
      <c r="P327" s="8" t="str">
        <f t="shared" si="17"/>
        <v/>
      </c>
    </row>
    <row r="328" spans="1:16">
      <c r="A328" s="6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 t="str">
        <f t="shared" si="15"/>
        <v/>
      </c>
      <c r="N328" s="7" t="str">
        <f t="shared" si="16"/>
        <v/>
      </c>
      <c r="O328" s="7"/>
      <c r="P328" s="8" t="str">
        <f t="shared" si="17"/>
        <v/>
      </c>
    </row>
    <row r="329" spans="1:16">
      <c r="A329" s="6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 t="str">
        <f t="shared" si="15"/>
        <v/>
      </c>
      <c r="N329" s="7" t="str">
        <f t="shared" si="16"/>
        <v/>
      </c>
      <c r="O329" s="7"/>
      <c r="P329" s="8" t="str">
        <f t="shared" si="17"/>
        <v/>
      </c>
    </row>
    <row r="330" spans="1:16">
      <c r="A330" s="6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 t="str">
        <f t="shared" si="15"/>
        <v/>
      </c>
      <c r="N330" s="7" t="str">
        <f t="shared" si="16"/>
        <v/>
      </c>
      <c r="O330" s="7"/>
      <c r="P330" s="8" t="str">
        <f t="shared" si="17"/>
        <v/>
      </c>
    </row>
    <row r="331" spans="1:16">
      <c r="A331" s="6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8" t="str">
        <f t="shared" si="15"/>
        <v/>
      </c>
      <c r="N331" s="7" t="str">
        <f t="shared" si="16"/>
        <v/>
      </c>
      <c r="O331" s="7"/>
      <c r="P331" s="8" t="str">
        <f t="shared" si="17"/>
        <v/>
      </c>
    </row>
    <row r="332" spans="1:16">
      <c r="A332" s="6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8" t="str">
        <f t="shared" si="15"/>
        <v/>
      </c>
      <c r="N332" s="7" t="str">
        <f t="shared" si="16"/>
        <v/>
      </c>
      <c r="O332" s="7"/>
      <c r="P332" s="8" t="str">
        <f t="shared" si="17"/>
        <v/>
      </c>
    </row>
    <row r="333" spans="1:16">
      <c r="A333" s="6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8" t="str">
        <f t="shared" si="15"/>
        <v/>
      </c>
      <c r="N333" s="7" t="str">
        <f t="shared" si="16"/>
        <v/>
      </c>
      <c r="O333" s="7"/>
      <c r="P333" s="8" t="str">
        <f t="shared" si="17"/>
        <v/>
      </c>
    </row>
    <row r="334" spans="1:16">
      <c r="A334" s="6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8" t="str">
        <f t="shared" si="15"/>
        <v/>
      </c>
      <c r="N334" s="7" t="str">
        <f t="shared" si="16"/>
        <v/>
      </c>
      <c r="O334" s="7"/>
      <c r="P334" s="8" t="str">
        <f t="shared" si="17"/>
        <v/>
      </c>
    </row>
    <row r="335" spans="1:16">
      <c r="A335" s="6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8" t="str">
        <f t="shared" si="15"/>
        <v/>
      </c>
      <c r="N335" s="7" t="str">
        <f t="shared" si="16"/>
        <v/>
      </c>
      <c r="O335" s="7"/>
      <c r="P335" s="8" t="str">
        <f t="shared" si="17"/>
        <v/>
      </c>
    </row>
    <row r="336" spans="1:16">
      <c r="A336" s="6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 t="str">
        <f t="shared" si="15"/>
        <v/>
      </c>
      <c r="N336" s="7" t="str">
        <f t="shared" si="16"/>
        <v/>
      </c>
      <c r="O336" s="7"/>
      <c r="P336" s="8" t="str">
        <f t="shared" si="17"/>
        <v/>
      </c>
    </row>
    <row r="337" spans="1:16">
      <c r="A337" s="6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 t="str">
        <f t="shared" si="15"/>
        <v/>
      </c>
      <c r="N337" s="7" t="str">
        <f t="shared" si="16"/>
        <v/>
      </c>
      <c r="O337" s="7"/>
      <c r="P337" s="8" t="str">
        <f t="shared" si="17"/>
        <v/>
      </c>
    </row>
    <row r="338" spans="1:16">
      <c r="A338" s="6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 t="str">
        <f t="shared" si="15"/>
        <v/>
      </c>
      <c r="N338" s="7" t="str">
        <f t="shared" si="16"/>
        <v/>
      </c>
      <c r="O338" s="7"/>
      <c r="P338" s="8" t="str">
        <f t="shared" si="17"/>
        <v/>
      </c>
    </row>
    <row r="339" spans="1:16">
      <c r="A339" s="6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 t="str">
        <f t="shared" si="15"/>
        <v/>
      </c>
      <c r="N339" s="7" t="str">
        <f t="shared" si="16"/>
        <v/>
      </c>
      <c r="O339" s="7"/>
      <c r="P339" s="8" t="str">
        <f t="shared" si="17"/>
        <v/>
      </c>
    </row>
    <row r="340" spans="1:16">
      <c r="A340" s="6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 t="str">
        <f t="shared" si="15"/>
        <v/>
      </c>
      <c r="N340" s="7" t="str">
        <f t="shared" si="16"/>
        <v/>
      </c>
      <c r="O340" s="7"/>
      <c r="P340" s="8" t="str">
        <f t="shared" si="17"/>
        <v/>
      </c>
    </row>
    <row r="341" spans="1:16">
      <c r="A341" s="6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 t="str">
        <f t="shared" si="15"/>
        <v/>
      </c>
      <c r="N341" s="7" t="str">
        <f t="shared" si="16"/>
        <v/>
      </c>
      <c r="O341" s="7"/>
      <c r="P341" s="8" t="str">
        <f t="shared" si="17"/>
        <v/>
      </c>
    </row>
    <row r="342" spans="1:16">
      <c r="A342" s="6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8" t="str">
        <f t="shared" si="15"/>
        <v/>
      </c>
      <c r="N342" s="7" t="str">
        <f t="shared" si="16"/>
        <v/>
      </c>
      <c r="O342" s="7"/>
      <c r="P342" s="8" t="str">
        <f t="shared" si="17"/>
        <v/>
      </c>
    </row>
    <row r="343" spans="1:16">
      <c r="A343" s="6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8" t="str">
        <f t="shared" si="15"/>
        <v/>
      </c>
      <c r="N343" s="7" t="str">
        <f t="shared" si="16"/>
        <v/>
      </c>
      <c r="O343" s="7"/>
      <c r="P343" s="8" t="str">
        <f t="shared" si="17"/>
        <v/>
      </c>
    </row>
    <row r="344" spans="1:16">
      <c r="A344" s="6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8" t="str">
        <f t="shared" si="15"/>
        <v/>
      </c>
      <c r="N344" s="7" t="str">
        <f t="shared" si="16"/>
        <v/>
      </c>
      <c r="O344" s="7"/>
      <c r="P344" s="8" t="str">
        <f t="shared" si="17"/>
        <v/>
      </c>
    </row>
    <row r="345" spans="1:16">
      <c r="A345" s="6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8" t="str">
        <f t="shared" si="15"/>
        <v/>
      </c>
      <c r="N345" s="7" t="str">
        <f t="shared" si="16"/>
        <v/>
      </c>
      <c r="O345" s="7"/>
      <c r="P345" s="8" t="str">
        <f t="shared" si="17"/>
        <v/>
      </c>
    </row>
    <row r="346" spans="1:16">
      <c r="A346" s="6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8" t="str">
        <f t="shared" si="15"/>
        <v/>
      </c>
      <c r="N346" s="7" t="str">
        <f t="shared" si="16"/>
        <v/>
      </c>
      <c r="O346" s="7"/>
      <c r="P346" s="8" t="str">
        <f t="shared" si="17"/>
        <v/>
      </c>
    </row>
    <row r="347" spans="1:16">
      <c r="A347" s="6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 t="str">
        <f t="shared" si="15"/>
        <v/>
      </c>
      <c r="N347" s="7" t="str">
        <f t="shared" si="16"/>
        <v/>
      </c>
      <c r="O347" s="7"/>
      <c r="P347" s="8" t="str">
        <f t="shared" si="17"/>
        <v/>
      </c>
    </row>
    <row r="348" spans="1:16">
      <c r="A348" s="6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 t="str">
        <f t="shared" si="15"/>
        <v/>
      </c>
      <c r="N348" s="7" t="str">
        <f t="shared" si="16"/>
        <v/>
      </c>
      <c r="O348" s="7"/>
      <c r="P348" s="8" t="str">
        <f t="shared" si="17"/>
        <v/>
      </c>
    </row>
    <row r="349" spans="1:16">
      <c r="A349" s="6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 t="str">
        <f t="shared" si="15"/>
        <v/>
      </c>
      <c r="N349" s="7" t="str">
        <f t="shared" si="16"/>
        <v/>
      </c>
      <c r="O349" s="7"/>
      <c r="P349" s="8" t="str">
        <f t="shared" si="17"/>
        <v/>
      </c>
    </row>
    <row r="350" spans="1:16">
      <c r="A350" s="6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 t="str">
        <f t="shared" si="15"/>
        <v/>
      </c>
      <c r="N350" s="7" t="str">
        <f t="shared" si="16"/>
        <v/>
      </c>
      <c r="O350" s="7"/>
      <c r="P350" s="8" t="str">
        <f t="shared" si="17"/>
        <v/>
      </c>
    </row>
    <row r="351" spans="1:16">
      <c r="A351" s="6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 t="str">
        <f t="shared" si="15"/>
        <v/>
      </c>
      <c r="N351" s="7" t="str">
        <f t="shared" si="16"/>
        <v/>
      </c>
      <c r="O351" s="7"/>
      <c r="P351" s="8" t="str">
        <f t="shared" si="17"/>
        <v/>
      </c>
    </row>
    <row r="352" spans="1:16">
      <c r="A352" s="6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 t="str">
        <f t="shared" si="15"/>
        <v/>
      </c>
      <c r="N352" s="7" t="str">
        <f t="shared" si="16"/>
        <v/>
      </c>
      <c r="O352" s="7"/>
      <c r="P352" s="8" t="str">
        <f t="shared" si="17"/>
        <v/>
      </c>
    </row>
    <row r="353" spans="1:16">
      <c r="A353" s="6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8" t="str">
        <f t="shared" si="15"/>
        <v/>
      </c>
      <c r="N353" s="7" t="str">
        <f t="shared" si="16"/>
        <v/>
      </c>
      <c r="O353" s="7"/>
      <c r="P353" s="8" t="str">
        <f t="shared" si="17"/>
        <v/>
      </c>
    </row>
    <row r="354" spans="1:16">
      <c r="A354" s="6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8" t="str">
        <f t="shared" si="15"/>
        <v/>
      </c>
      <c r="N354" s="7" t="str">
        <f t="shared" si="16"/>
        <v/>
      </c>
      <c r="O354" s="7"/>
      <c r="P354" s="8" t="str">
        <f t="shared" si="17"/>
        <v/>
      </c>
    </row>
    <row r="355" spans="1:16">
      <c r="A355" s="6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8" t="str">
        <f t="shared" si="15"/>
        <v/>
      </c>
      <c r="N355" s="7" t="str">
        <f t="shared" si="16"/>
        <v/>
      </c>
      <c r="O355" s="7"/>
      <c r="P355" s="8" t="str">
        <f t="shared" si="17"/>
        <v/>
      </c>
    </row>
    <row r="356" spans="1:16">
      <c r="A356" s="6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8" t="str">
        <f t="shared" si="15"/>
        <v/>
      </c>
      <c r="N356" s="7" t="str">
        <f t="shared" si="16"/>
        <v/>
      </c>
      <c r="O356" s="7"/>
      <c r="P356" s="8" t="str">
        <f t="shared" si="17"/>
        <v/>
      </c>
    </row>
    <row r="357" spans="1:16">
      <c r="A357" s="6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8" t="str">
        <f t="shared" si="15"/>
        <v/>
      </c>
      <c r="N357" s="7" t="str">
        <f t="shared" si="16"/>
        <v/>
      </c>
      <c r="O357" s="7"/>
      <c r="P357" s="8" t="str">
        <f t="shared" si="17"/>
        <v/>
      </c>
    </row>
    <row r="358" spans="1:16">
      <c r="A358" s="6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 t="str">
        <f t="shared" si="15"/>
        <v/>
      </c>
      <c r="N358" s="7" t="str">
        <f t="shared" si="16"/>
        <v/>
      </c>
      <c r="O358" s="7"/>
      <c r="P358" s="8" t="str">
        <f t="shared" si="17"/>
        <v/>
      </c>
    </row>
    <row r="359" spans="1:16">
      <c r="A359" s="6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 t="str">
        <f t="shared" si="15"/>
        <v/>
      </c>
      <c r="N359" s="7" t="str">
        <f t="shared" si="16"/>
        <v/>
      </c>
      <c r="O359" s="7"/>
      <c r="P359" s="8" t="str">
        <f t="shared" si="17"/>
        <v/>
      </c>
    </row>
    <row r="360" spans="1:16">
      <c r="A360" s="6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 t="str">
        <f t="shared" si="15"/>
        <v/>
      </c>
      <c r="N360" s="7" t="str">
        <f t="shared" si="16"/>
        <v/>
      </c>
      <c r="O360" s="7"/>
      <c r="P360" s="8" t="str">
        <f t="shared" si="17"/>
        <v/>
      </c>
    </row>
    <row r="361" spans="1:16">
      <c r="A361" s="6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 t="str">
        <f t="shared" si="15"/>
        <v/>
      </c>
      <c r="N361" s="7" t="str">
        <f t="shared" si="16"/>
        <v/>
      </c>
      <c r="O361" s="7"/>
      <c r="P361" s="8" t="str">
        <f t="shared" si="17"/>
        <v/>
      </c>
    </row>
    <row r="362" spans="1:16">
      <c r="A362" s="6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 t="str">
        <f t="shared" si="15"/>
        <v/>
      </c>
      <c r="N362" s="7" t="str">
        <f t="shared" si="16"/>
        <v/>
      </c>
      <c r="O362" s="7"/>
      <c r="P362" s="8" t="str">
        <f t="shared" si="17"/>
        <v/>
      </c>
    </row>
    <row r="363" spans="1:16">
      <c r="A363" s="6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 t="str">
        <f t="shared" si="15"/>
        <v/>
      </c>
      <c r="N363" s="7" t="str">
        <f t="shared" si="16"/>
        <v/>
      </c>
      <c r="O363" s="7"/>
      <c r="P363" s="8" t="str">
        <f t="shared" si="17"/>
        <v/>
      </c>
    </row>
    <row r="364" spans="1:16">
      <c r="A364" s="6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8" t="str">
        <f t="shared" si="15"/>
        <v/>
      </c>
      <c r="N364" s="7" t="str">
        <f t="shared" si="16"/>
        <v/>
      </c>
      <c r="O364" s="7"/>
      <c r="P364" s="8" t="str">
        <f t="shared" si="17"/>
        <v/>
      </c>
    </row>
    <row r="365" spans="1:16">
      <c r="A365" s="6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8" t="str">
        <f t="shared" si="15"/>
        <v/>
      </c>
      <c r="N365" s="7" t="str">
        <f t="shared" si="16"/>
        <v/>
      </c>
      <c r="O365" s="7"/>
      <c r="P365" s="8" t="str">
        <f t="shared" si="17"/>
        <v/>
      </c>
    </row>
    <row r="366" spans="1:16">
      <c r="A366" s="6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8" t="str">
        <f t="shared" si="15"/>
        <v/>
      </c>
      <c r="N366" s="7" t="str">
        <f t="shared" si="16"/>
        <v/>
      </c>
      <c r="O366" s="7"/>
      <c r="P366" s="8" t="str">
        <f t="shared" si="17"/>
        <v/>
      </c>
    </row>
    <row r="367" spans="1:16">
      <c r="A367" s="6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8" t="str">
        <f t="shared" si="15"/>
        <v/>
      </c>
      <c r="N367" s="7" t="str">
        <f t="shared" si="16"/>
        <v/>
      </c>
      <c r="O367" s="7"/>
      <c r="P367" s="8" t="str">
        <f t="shared" si="17"/>
        <v/>
      </c>
    </row>
    <row r="368" spans="1:16">
      <c r="A368" s="6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8" t="str">
        <f t="shared" si="15"/>
        <v/>
      </c>
      <c r="N368" s="7" t="str">
        <f t="shared" si="16"/>
        <v/>
      </c>
      <c r="O368" s="7"/>
      <c r="P368" s="8" t="str">
        <f t="shared" si="17"/>
        <v/>
      </c>
    </row>
    <row r="369" spans="1:16">
      <c r="A369" s="6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 t="str">
        <f t="shared" si="15"/>
        <v/>
      </c>
      <c r="N369" s="7" t="str">
        <f t="shared" si="16"/>
        <v/>
      </c>
      <c r="O369" s="7"/>
      <c r="P369" s="8" t="str">
        <f t="shared" si="17"/>
        <v/>
      </c>
    </row>
    <row r="370" spans="1:16">
      <c r="A370" s="6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 t="str">
        <f t="shared" si="15"/>
        <v/>
      </c>
      <c r="N370" s="7" t="str">
        <f t="shared" si="16"/>
        <v/>
      </c>
      <c r="O370" s="7"/>
      <c r="P370" s="8" t="str">
        <f t="shared" si="17"/>
        <v/>
      </c>
    </row>
    <row r="371" spans="1:16">
      <c r="A371" s="6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 t="str">
        <f t="shared" si="15"/>
        <v/>
      </c>
      <c r="N371" s="7" t="str">
        <f t="shared" si="16"/>
        <v/>
      </c>
      <c r="O371" s="7"/>
      <c r="P371" s="8" t="str">
        <f t="shared" si="17"/>
        <v/>
      </c>
    </row>
    <row r="372" spans="1:16">
      <c r="A372" s="6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 t="str">
        <f t="shared" si="15"/>
        <v/>
      </c>
      <c r="N372" s="7" t="str">
        <f t="shared" si="16"/>
        <v/>
      </c>
      <c r="O372" s="7"/>
      <c r="P372" s="8" t="str">
        <f t="shared" si="17"/>
        <v/>
      </c>
    </row>
    <row r="373" spans="1:16">
      <c r="A373" s="6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 t="str">
        <f t="shared" si="15"/>
        <v/>
      </c>
      <c r="N373" s="7" t="str">
        <f t="shared" si="16"/>
        <v/>
      </c>
      <c r="O373" s="7"/>
      <c r="P373" s="8" t="str">
        <f t="shared" si="17"/>
        <v/>
      </c>
    </row>
    <row r="374" spans="1:16">
      <c r="A374" s="6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 t="str">
        <f t="shared" si="15"/>
        <v/>
      </c>
      <c r="N374" s="7" t="str">
        <f t="shared" si="16"/>
        <v/>
      </c>
      <c r="O374" s="7"/>
      <c r="P374" s="8" t="str">
        <f t="shared" si="17"/>
        <v/>
      </c>
    </row>
    <row r="375" spans="1:16">
      <c r="A375" s="6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8" t="str">
        <f t="shared" si="15"/>
        <v/>
      </c>
      <c r="N375" s="7" t="str">
        <f t="shared" si="16"/>
        <v/>
      </c>
      <c r="O375" s="7"/>
      <c r="P375" s="8" t="str">
        <f t="shared" si="17"/>
        <v/>
      </c>
    </row>
    <row r="376" spans="1:16">
      <c r="A376" s="6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8" t="str">
        <f t="shared" si="15"/>
        <v/>
      </c>
      <c r="N376" s="7" t="str">
        <f t="shared" si="16"/>
        <v/>
      </c>
      <c r="O376" s="7"/>
      <c r="P376" s="8" t="str">
        <f t="shared" si="17"/>
        <v/>
      </c>
    </row>
    <row r="377" spans="1:16">
      <c r="A377" s="6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 t="str">
        <f t="shared" si="15"/>
        <v/>
      </c>
      <c r="N377" s="7" t="str">
        <f t="shared" si="16"/>
        <v/>
      </c>
      <c r="O377" s="7"/>
      <c r="P377" s="8" t="str">
        <f t="shared" si="17"/>
        <v/>
      </c>
    </row>
    <row r="378" spans="1:16">
      <c r="A378" s="6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8" t="str">
        <f t="shared" si="15"/>
        <v/>
      </c>
      <c r="N378" s="7" t="str">
        <f t="shared" si="16"/>
        <v/>
      </c>
      <c r="O378" s="7"/>
      <c r="P378" s="8" t="str">
        <f t="shared" si="17"/>
        <v/>
      </c>
    </row>
    <row r="379" spans="1:16">
      <c r="A379" s="6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8" t="str">
        <f t="shared" si="15"/>
        <v/>
      </c>
      <c r="N379" s="7" t="str">
        <f t="shared" si="16"/>
        <v/>
      </c>
      <c r="O379" s="7"/>
      <c r="P379" s="8" t="str">
        <f t="shared" si="17"/>
        <v/>
      </c>
    </row>
    <row r="380" spans="1:16">
      <c r="A380" s="6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 t="str">
        <f t="shared" si="15"/>
        <v/>
      </c>
      <c r="N380" s="7" t="str">
        <f t="shared" si="16"/>
        <v/>
      </c>
      <c r="O380" s="7"/>
      <c r="P380" s="8" t="str">
        <f t="shared" si="17"/>
        <v/>
      </c>
    </row>
    <row r="381" spans="1:16">
      <c r="A381" s="6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 t="str">
        <f t="shared" si="15"/>
        <v/>
      </c>
      <c r="N381" s="7" t="str">
        <f t="shared" si="16"/>
        <v/>
      </c>
      <c r="O381" s="7"/>
      <c r="P381" s="8" t="str">
        <f t="shared" si="17"/>
        <v/>
      </c>
    </row>
    <row r="382" spans="1:16">
      <c r="A382" s="6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 t="str">
        <f t="shared" si="15"/>
        <v/>
      </c>
      <c r="N382" s="7" t="str">
        <f t="shared" si="16"/>
        <v/>
      </c>
      <c r="O382" s="7"/>
      <c r="P382" s="8" t="str">
        <f t="shared" si="17"/>
        <v/>
      </c>
    </row>
    <row r="383" spans="1:16">
      <c r="A383" s="6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 t="str">
        <f t="shared" si="15"/>
        <v/>
      </c>
      <c r="N383" s="7" t="str">
        <f t="shared" si="16"/>
        <v/>
      </c>
      <c r="O383" s="7"/>
      <c r="P383" s="8" t="str">
        <f t="shared" si="17"/>
        <v/>
      </c>
    </row>
    <row r="384" spans="1:16">
      <c r="A384" s="6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 t="str">
        <f t="shared" si="15"/>
        <v/>
      </c>
      <c r="N384" s="7" t="str">
        <f t="shared" si="16"/>
        <v/>
      </c>
      <c r="O384" s="7"/>
      <c r="P384" s="8" t="str">
        <f t="shared" si="17"/>
        <v/>
      </c>
    </row>
    <row r="385" spans="1:16">
      <c r="A385" s="6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 t="str">
        <f t="shared" si="15"/>
        <v/>
      </c>
      <c r="N385" s="7" t="str">
        <f t="shared" si="16"/>
        <v/>
      </c>
      <c r="O385" s="7"/>
      <c r="P385" s="8" t="str">
        <f t="shared" si="17"/>
        <v/>
      </c>
    </row>
    <row r="386" spans="1:16">
      <c r="A386" s="6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8" t="str">
        <f t="shared" ref="M386:M449" si="18">IF($A386="","",SUM($C386:$L386))</f>
        <v/>
      </c>
      <c r="N386" s="7" t="str">
        <f t="shared" ref="N386:N449" si="19">IF($A386="","",SUM($C386:$L386))</f>
        <v/>
      </c>
      <c r="O386" s="7"/>
      <c r="P386" s="8" t="str">
        <f t="shared" ref="P386:P449" si="20">IF($A386="","",$M386-$N386-$O386)</f>
        <v/>
      </c>
    </row>
    <row r="387" spans="1:16">
      <c r="A387" s="6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8" t="str">
        <f t="shared" si="18"/>
        <v/>
      </c>
      <c r="N387" s="7" t="str">
        <f t="shared" si="19"/>
        <v/>
      </c>
      <c r="O387" s="7"/>
      <c r="P387" s="8" t="str">
        <f t="shared" si="20"/>
        <v/>
      </c>
    </row>
    <row r="388" spans="1:16">
      <c r="A388" s="6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 t="str">
        <f t="shared" si="18"/>
        <v/>
      </c>
      <c r="N388" s="7" t="str">
        <f t="shared" si="19"/>
        <v/>
      </c>
      <c r="O388" s="7"/>
      <c r="P388" s="8" t="str">
        <f t="shared" si="20"/>
        <v/>
      </c>
    </row>
    <row r="389" spans="1:16">
      <c r="A389" s="6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8" t="str">
        <f t="shared" si="18"/>
        <v/>
      </c>
      <c r="N389" s="7" t="str">
        <f t="shared" si="19"/>
        <v/>
      </c>
      <c r="O389" s="7"/>
      <c r="P389" s="8" t="str">
        <f t="shared" si="20"/>
        <v/>
      </c>
    </row>
    <row r="390" spans="1:16">
      <c r="A390" s="6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8" t="str">
        <f t="shared" si="18"/>
        <v/>
      </c>
      <c r="N390" s="7" t="str">
        <f t="shared" si="19"/>
        <v/>
      </c>
      <c r="O390" s="7"/>
      <c r="P390" s="8" t="str">
        <f t="shared" si="20"/>
        <v/>
      </c>
    </row>
    <row r="391" spans="1:16">
      <c r="A391" s="6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 t="str">
        <f t="shared" si="18"/>
        <v/>
      </c>
      <c r="N391" s="7" t="str">
        <f t="shared" si="19"/>
        <v/>
      </c>
      <c r="O391" s="7"/>
      <c r="P391" s="8" t="str">
        <f t="shared" si="20"/>
        <v/>
      </c>
    </row>
    <row r="392" spans="1:16">
      <c r="A392" s="6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 t="str">
        <f t="shared" si="18"/>
        <v/>
      </c>
      <c r="N392" s="7" t="str">
        <f t="shared" si="19"/>
        <v/>
      </c>
      <c r="O392" s="7"/>
      <c r="P392" s="8" t="str">
        <f t="shared" si="20"/>
        <v/>
      </c>
    </row>
    <row r="393" spans="1:16">
      <c r="A393" s="6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 t="str">
        <f t="shared" si="18"/>
        <v/>
      </c>
      <c r="N393" s="7" t="str">
        <f t="shared" si="19"/>
        <v/>
      </c>
      <c r="O393" s="7"/>
      <c r="P393" s="8" t="str">
        <f t="shared" si="20"/>
        <v/>
      </c>
    </row>
    <row r="394" spans="1:16">
      <c r="A394" s="6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 t="str">
        <f t="shared" si="18"/>
        <v/>
      </c>
      <c r="N394" s="7" t="str">
        <f t="shared" si="19"/>
        <v/>
      </c>
      <c r="O394" s="7"/>
      <c r="P394" s="8" t="str">
        <f t="shared" si="20"/>
        <v/>
      </c>
    </row>
    <row r="395" spans="1:16">
      <c r="A395" s="6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 t="str">
        <f t="shared" si="18"/>
        <v/>
      </c>
      <c r="N395" s="7" t="str">
        <f t="shared" si="19"/>
        <v/>
      </c>
      <c r="O395" s="7"/>
      <c r="P395" s="8" t="str">
        <f t="shared" si="20"/>
        <v/>
      </c>
    </row>
    <row r="396" spans="1:16">
      <c r="A396" s="6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 t="str">
        <f t="shared" si="18"/>
        <v/>
      </c>
      <c r="N396" s="7" t="str">
        <f t="shared" si="19"/>
        <v/>
      </c>
      <c r="O396" s="7"/>
      <c r="P396" s="8" t="str">
        <f t="shared" si="20"/>
        <v/>
      </c>
    </row>
    <row r="397" spans="1:16">
      <c r="A397" s="6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8" t="str">
        <f t="shared" si="18"/>
        <v/>
      </c>
      <c r="N397" s="7" t="str">
        <f t="shared" si="19"/>
        <v/>
      </c>
      <c r="O397" s="7"/>
      <c r="P397" s="8" t="str">
        <f t="shared" si="20"/>
        <v/>
      </c>
    </row>
    <row r="398" spans="1:16">
      <c r="A398" s="6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 t="str">
        <f t="shared" si="18"/>
        <v/>
      </c>
      <c r="N398" s="7" t="str">
        <f t="shared" si="19"/>
        <v/>
      </c>
      <c r="O398" s="7"/>
      <c r="P398" s="8" t="str">
        <f t="shared" si="20"/>
        <v/>
      </c>
    </row>
    <row r="399" spans="1:16">
      <c r="A399" s="6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8" t="str">
        <f t="shared" si="18"/>
        <v/>
      </c>
      <c r="N399" s="7" t="str">
        <f t="shared" si="19"/>
        <v/>
      </c>
      <c r="O399" s="7"/>
      <c r="P399" s="8" t="str">
        <f t="shared" si="20"/>
        <v/>
      </c>
    </row>
    <row r="400" spans="1:16">
      <c r="A400" s="6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 t="str">
        <f t="shared" si="18"/>
        <v/>
      </c>
      <c r="N400" s="7" t="str">
        <f t="shared" si="19"/>
        <v/>
      </c>
      <c r="O400" s="7"/>
      <c r="P400" s="8" t="str">
        <f t="shared" si="20"/>
        <v/>
      </c>
    </row>
    <row r="401" spans="1:16">
      <c r="A401" s="6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8" t="str">
        <f t="shared" si="18"/>
        <v/>
      </c>
      <c r="N401" s="7" t="str">
        <f t="shared" si="19"/>
        <v/>
      </c>
      <c r="O401" s="7"/>
      <c r="P401" s="8" t="str">
        <f t="shared" si="20"/>
        <v/>
      </c>
    </row>
    <row r="402" spans="1:16">
      <c r="A402" s="6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 t="str">
        <f t="shared" si="18"/>
        <v/>
      </c>
      <c r="N402" s="7" t="str">
        <f t="shared" si="19"/>
        <v/>
      </c>
      <c r="O402" s="7"/>
      <c r="P402" s="8" t="str">
        <f t="shared" si="20"/>
        <v/>
      </c>
    </row>
    <row r="403" spans="1:16">
      <c r="A403" s="6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 t="str">
        <f t="shared" si="18"/>
        <v/>
      </c>
      <c r="N403" s="7" t="str">
        <f t="shared" si="19"/>
        <v/>
      </c>
      <c r="O403" s="7"/>
      <c r="P403" s="8" t="str">
        <f t="shared" si="20"/>
        <v/>
      </c>
    </row>
    <row r="404" spans="1:16">
      <c r="A404" s="6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 t="str">
        <f t="shared" si="18"/>
        <v/>
      </c>
      <c r="N404" s="7" t="str">
        <f t="shared" si="19"/>
        <v/>
      </c>
      <c r="O404" s="7"/>
      <c r="P404" s="8" t="str">
        <f t="shared" si="20"/>
        <v/>
      </c>
    </row>
    <row r="405" spans="1:16">
      <c r="A405" s="6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 t="str">
        <f t="shared" si="18"/>
        <v/>
      </c>
      <c r="N405" s="7" t="str">
        <f t="shared" si="19"/>
        <v/>
      </c>
      <c r="O405" s="7"/>
      <c r="P405" s="8" t="str">
        <f t="shared" si="20"/>
        <v/>
      </c>
    </row>
    <row r="406" spans="1:16">
      <c r="A406" s="6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 t="str">
        <f t="shared" si="18"/>
        <v/>
      </c>
      <c r="N406" s="7" t="str">
        <f t="shared" si="19"/>
        <v/>
      </c>
      <c r="O406" s="7"/>
      <c r="P406" s="8" t="str">
        <f t="shared" si="20"/>
        <v/>
      </c>
    </row>
    <row r="407" spans="1:16">
      <c r="A407" s="6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 t="str">
        <f t="shared" si="18"/>
        <v/>
      </c>
      <c r="N407" s="7" t="str">
        <f t="shared" si="19"/>
        <v/>
      </c>
      <c r="O407" s="7"/>
      <c r="P407" s="8" t="str">
        <f t="shared" si="20"/>
        <v/>
      </c>
    </row>
    <row r="408" spans="1:16">
      <c r="A408" s="6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8" t="str">
        <f t="shared" si="18"/>
        <v/>
      </c>
      <c r="N408" s="7" t="str">
        <f t="shared" si="19"/>
        <v/>
      </c>
      <c r="O408" s="7"/>
      <c r="P408" s="8" t="str">
        <f t="shared" si="20"/>
        <v/>
      </c>
    </row>
    <row r="409" spans="1:16">
      <c r="A409" s="6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8" t="str">
        <f t="shared" si="18"/>
        <v/>
      </c>
      <c r="N409" s="7" t="str">
        <f t="shared" si="19"/>
        <v/>
      </c>
      <c r="O409" s="7"/>
      <c r="P409" s="8" t="str">
        <f t="shared" si="20"/>
        <v/>
      </c>
    </row>
    <row r="410" spans="1:16">
      <c r="A410" s="6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 t="str">
        <f t="shared" si="18"/>
        <v/>
      </c>
      <c r="N410" s="7" t="str">
        <f t="shared" si="19"/>
        <v/>
      </c>
      <c r="O410" s="7"/>
      <c r="P410" s="8" t="str">
        <f t="shared" si="20"/>
        <v/>
      </c>
    </row>
    <row r="411" spans="1:16">
      <c r="A411" s="6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8" t="str">
        <f t="shared" si="18"/>
        <v/>
      </c>
      <c r="N411" s="7" t="str">
        <f t="shared" si="19"/>
        <v/>
      </c>
      <c r="O411" s="7"/>
      <c r="P411" s="8" t="str">
        <f t="shared" si="20"/>
        <v/>
      </c>
    </row>
    <row r="412" spans="1:16">
      <c r="A412" s="6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8" t="str">
        <f t="shared" si="18"/>
        <v/>
      </c>
      <c r="N412" s="7" t="str">
        <f t="shared" si="19"/>
        <v/>
      </c>
      <c r="O412" s="7"/>
      <c r="P412" s="8" t="str">
        <f t="shared" si="20"/>
        <v/>
      </c>
    </row>
    <row r="413" spans="1:16">
      <c r="A413" s="6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 t="str">
        <f t="shared" si="18"/>
        <v/>
      </c>
      <c r="N413" s="7" t="str">
        <f t="shared" si="19"/>
        <v/>
      </c>
      <c r="O413" s="7"/>
      <c r="P413" s="8" t="str">
        <f t="shared" si="20"/>
        <v/>
      </c>
    </row>
    <row r="414" spans="1:16">
      <c r="A414" s="6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 t="str">
        <f t="shared" si="18"/>
        <v/>
      </c>
      <c r="N414" s="7" t="str">
        <f t="shared" si="19"/>
        <v/>
      </c>
      <c r="O414" s="7"/>
      <c r="P414" s="8" t="str">
        <f t="shared" si="20"/>
        <v/>
      </c>
    </row>
    <row r="415" spans="1:16">
      <c r="A415" s="6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 t="str">
        <f t="shared" si="18"/>
        <v/>
      </c>
      <c r="N415" s="7" t="str">
        <f t="shared" si="19"/>
        <v/>
      </c>
      <c r="O415" s="7"/>
      <c r="P415" s="8" t="str">
        <f t="shared" si="20"/>
        <v/>
      </c>
    </row>
    <row r="416" spans="1:16">
      <c r="A416" s="6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 t="str">
        <f t="shared" si="18"/>
        <v/>
      </c>
      <c r="N416" s="7" t="str">
        <f t="shared" si="19"/>
        <v/>
      </c>
      <c r="O416" s="7"/>
      <c r="P416" s="8" t="str">
        <f t="shared" si="20"/>
        <v/>
      </c>
    </row>
    <row r="417" spans="1:16">
      <c r="A417" s="6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 t="str">
        <f t="shared" si="18"/>
        <v/>
      </c>
      <c r="N417" s="7" t="str">
        <f t="shared" si="19"/>
        <v/>
      </c>
      <c r="O417" s="7"/>
      <c r="P417" s="8" t="str">
        <f t="shared" si="20"/>
        <v/>
      </c>
    </row>
    <row r="418" spans="1:16">
      <c r="A418" s="6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 t="str">
        <f t="shared" si="18"/>
        <v/>
      </c>
      <c r="N418" s="7" t="str">
        <f t="shared" si="19"/>
        <v/>
      </c>
      <c r="O418" s="7"/>
      <c r="P418" s="8" t="str">
        <f t="shared" si="20"/>
        <v/>
      </c>
    </row>
    <row r="419" spans="1:16">
      <c r="A419" s="6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 t="str">
        <f t="shared" si="18"/>
        <v/>
      </c>
      <c r="N419" s="7" t="str">
        <f t="shared" si="19"/>
        <v/>
      </c>
      <c r="O419" s="7"/>
      <c r="P419" s="8" t="str">
        <f t="shared" si="20"/>
        <v/>
      </c>
    </row>
    <row r="420" spans="1:16">
      <c r="A420" s="6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8" t="str">
        <f t="shared" si="18"/>
        <v/>
      </c>
      <c r="N420" s="7" t="str">
        <f t="shared" si="19"/>
        <v/>
      </c>
      <c r="O420" s="7"/>
      <c r="P420" s="8" t="str">
        <f t="shared" si="20"/>
        <v/>
      </c>
    </row>
    <row r="421" spans="1:16">
      <c r="A421" s="6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8" t="str">
        <f t="shared" si="18"/>
        <v/>
      </c>
      <c r="N421" s="7" t="str">
        <f t="shared" si="19"/>
        <v/>
      </c>
      <c r="O421" s="7"/>
      <c r="P421" s="8" t="str">
        <f t="shared" si="20"/>
        <v/>
      </c>
    </row>
    <row r="422" spans="1:16">
      <c r="A422" s="6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8" t="str">
        <f t="shared" si="18"/>
        <v/>
      </c>
      <c r="N422" s="7" t="str">
        <f t="shared" si="19"/>
        <v/>
      </c>
      <c r="O422" s="7"/>
      <c r="P422" s="8" t="str">
        <f t="shared" si="20"/>
        <v/>
      </c>
    </row>
    <row r="423" spans="1:16">
      <c r="A423" s="6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8" t="str">
        <f t="shared" si="18"/>
        <v/>
      </c>
      <c r="N423" s="7" t="str">
        <f t="shared" si="19"/>
        <v/>
      </c>
      <c r="O423" s="7"/>
      <c r="P423" s="8" t="str">
        <f t="shared" si="20"/>
        <v/>
      </c>
    </row>
    <row r="424" spans="1:16">
      <c r="A424" s="6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 t="str">
        <f t="shared" si="18"/>
        <v/>
      </c>
      <c r="N424" s="7" t="str">
        <f t="shared" si="19"/>
        <v/>
      </c>
      <c r="O424" s="7"/>
      <c r="P424" s="8" t="str">
        <f t="shared" si="20"/>
        <v/>
      </c>
    </row>
    <row r="425" spans="1:16">
      <c r="A425" s="6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 t="str">
        <f t="shared" si="18"/>
        <v/>
      </c>
      <c r="N425" s="7" t="str">
        <f t="shared" si="19"/>
        <v/>
      </c>
      <c r="O425" s="7"/>
      <c r="P425" s="8" t="str">
        <f t="shared" si="20"/>
        <v/>
      </c>
    </row>
    <row r="426" spans="1:16">
      <c r="A426" s="6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 t="str">
        <f t="shared" si="18"/>
        <v/>
      </c>
      <c r="N426" s="7" t="str">
        <f t="shared" si="19"/>
        <v/>
      </c>
      <c r="O426" s="7"/>
      <c r="P426" s="8" t="str">
        <f t="shared" si="20"/>
        <v/>
      </c>
    </row>
    <row r="427" spans="1:16">
      <c r="A427" s="6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 t="str">
        <f t="shared" si="18"/>
        <v/>
      </c>
      <c r="N427" s="7" t="str">
        <f t="shared" si="19"/>
        <v/>
      </c>
      <c r="O427" s="7"/>
      <c r="P427" s="8" t="str">
        <f t="shared" si="20"/>
        <v/>
      </c>
    </row>
    <row r="428" spans="1:16">
      <c r="A428" s="6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 t="str">
        <f t="shared" si="18"/>
        <v/>
      </c>
      <c r="N428" s="7" t="str">
        <f t="shared" si="19"/>
        <v/>
      </c>
      <c r="O428" s="7"/>
      <c r="P428" s="8" t="str">
        <f t="shared" si="20"/>
        <v/>
      </c>
    </row>
    <row r="429" spans="1:16">
      <c r="A429" s="6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 t="str">
        <f t="shared" si="18"/>
        <v/>
      </c>
      <c r="N429" s="7" t="str">
        <f t="shared" si="19"/>
        <v/>
      </c>
      <c r="O429" s="7"/>
      <c r="P429" s="8" t="str">
        <f t="shared" si="20"/>
        <v/>
      </c>
    </row>
    <row r="430" spans="1:16">
      <c r="A430" s="6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8" t="str">
        <f t="shared" si="18"/>
        <v/>
      </c>
      <c r="N430" s="7" t="str">
        <f t="shared" si="19"/>
        <v/>
      </c>
      <c r="O430" s="7"/>
      <c r="P430" s="8" t="str">
        <f t="shared" si="20"/>
        <v/>
      </c>
    </row>
    <row r="431" spans="1:16">
      <c r="A431" s="6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8" t="str">
        <f t="shared" si="18"/>
        <v/>
      </c>
      <c r="N431" s="7" t="str">
        <f t="shared" si="19"/>
        <v/>
      </c>
      <c r="O431" s="7"/>
      <c r="P431" s="8" t="str">
        <f t="shared" si="20"/>
        <v/>
      </c>
    </row>
    <row r="432" spans="1:16">
      <c r="A432" s="6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8" t="str">
        <f t="shared" si="18"/>
        <v/>
      </c>
      <c r="N432" s="7" t="str">
        <f t="shared" si="19"/>
        <v/>
      </c>
      <c r="O432" s="7"/>
      <c r="P432" s="8" t="str">
        <f t="shared" si="20"/>
        <v/>
      </c>
    </row>
    <row r="433" spans="1:16">
      <c r="A433" s="6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8" t="str">
        <f t="shared" si="18"/>
        <v/>
      </c>
      <c r="N433" s="7" t="str">
        <f t="shared" si="19"/>
        <v/>
      </c>
      <c r="O433" s="7"/>
      <c r="P433" s="8" t="str">
        <f t="shared" si="20"/>
        <v/>
      </c>
    </row>
    <row r="434" spans="1:16">
      <c r="A434" s="6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8" t="str">
        <f t="shared" si="18"/>
        <v/>
      </c>
      <c r="N434" s="7" t="str">
        <f t="shared" si="19"/>
        <v/>
      </c>
      <c r="O434" s="7"/>
      <c r="P434" s="8" t="str">
        <f t="shared" si="20"/>
        <v/>
      </c>
    </row>
    <row r="435" spans="1:16">
      <c r="A435" s="6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 t="str">
        <f t="shared" si="18"/>
        <v/>
      </c>
      <c r="N435" s="7" t="str">
        <f t="shared" si="19"/>
        <v/>
      </c>
      <c r="O435" s="7"/>
      <c r="P435" s="8" t="str">
        <f t="shared" si="20"/>
        <v/>
      </c>
    </row>
    <row r="436" spans="1:16">
      <c r="A436" s="6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 t="str">
        <f t="shared" si="18"/>
        <v/>
      </c>
      <c r="N436" s="7" t="str">
        <f t="shared" si="19"/>
        <v/>
      </c>
      <c r="O436" s="7"/>
      <c r="P436" s="8" t="str">
        <f t="shared" si="20"/>
        <v/>
      </c>
    </row>
    <row r="437" spans="1:16">
      <c r="A437" s="6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 t="str">
        <f t="shared" si="18"/>
        <v/>
      </c>
      <c r="N437" s="7" t="str">
        <f t="shared" si="19"/>
        <v/>
      </c>
      <c r="O437" s="7"/>
      <c r="P437" s="8" t="str">
        <f t="shared" si="20"/>
        <v/>
      </c>
    </row>
    <row r="438" spans="1:16">
      <c r="A438" s="6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 t="str">
        <f t="shared" si="18"/>
        <v/>
      </c>
      <c r="N438" s="7" t="str">
        <f t="shared" si="19"/>
        <v/>
      </c>
      <c r="O438" s="7"/>
      <c r="P438" s="8" t="str">
        <f t="shared" si="20"/>
        <v/>
      </c>
    </row>
    <row r="439" spans="1:16">
      <c r="A439" s="6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 t="str">
        <f t="shared" si="18"/>
        <v/>
      </c>
      <c r="N439" s="7" t="str">
        <f t="shared" si="19"/>
        <v/>
      </c>
      <c r="O439" s="7"/>
      <c r="P439" s="8" t="str">
        <f t="shared" si="20"/>
        <v/>
      </c>
    </row>
    <row r="440" spans="1:16">
      <c r="A440" s="6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 t="str">
        <f t="shared" si="18"/>
        <v/>
      </c>
      <c r="N440" s="7" t="str">
        <f t="shared" si="19"/>
        <v/>
      </c>
      <c r="O440" s="7"/>
      <c r="P440" s="8" t="str">
        <f t="shared" si="20"/>
        <v/>
      </c>
    </row>
    <row r="441" spans="1:16">
      <c r="A441" s="6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8" t="str">
        <f t="shared" si="18"/>
        <v/>
      </c>
      <c r="N441" s="7" t="str">
        <f t="shared" si="19"/>
        <v/>
      </c>
      <c r="O441" s="7"/>
      <c r="P441" s="8" t="str">
        <f t="shared" si="20"/>
        <v/>
      </c>
    </row>
    <row r="442" spans="1:16">
      <c r="A442" s="6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 t="str">
        <f t="shared" si="18"/>
        <v/>
      </c>
      <c r="N442" s="7" t="str">
        <f t="shared" si="19"/>
        <v/>
      </c>
      <c r="O442" s="7"/>
      <c r="P442" s="8" t="str">
        <f t="shared" si="20"/>
        <v/>
      </c>
    </row>
    <row r="443" spans="1:16">
      <c r="A443" s="6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8" t="str">
        <f t="shared" si="18"/>
        <v/>
      </c>
      <c r="N443" s="7" t="str">
        <f t="shared" si="19"/>
        <v/>
      </c>
      <c r="O443" s="7"/>
      <c r="P443" s="8" t="str">
        <f t="shared" si="20"/>
        <v/>
      </c>
    </row>
    <row r="444" spans="1:16">
      <c r="A444" s="6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8" t="str">
        <f t="shared" si="18"/>
        <v/>
      </c>
      <c r="N444" s="7" t="str">
        <f t="shared" si="19"/>
        <v/>
      </c>
      <c r="O444" s="7"/>
      <c r="P444" s="8" t="str">
        <f t="shared" si="20"/>
        <v/>
      </c>
    </row>
    <row r="445" spans="1:16">
      <c r="A445" s="6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8" t="str">
        <f t="shared" si="18"/>
        <v/>
      </c>
      <c r="N445" s="7" t="str">
        <f t="shared" si="19"/>
        <v/>
      </c>
      <c r="O445" s="7"/>
      <c r="P445" s="8" t="str">
        <f t="shared" si="20"/>
        <v/>
      </c>
    </row>
    <row r="446" spans="1:16">
      <c r="A446" s="6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 t="str">
        <f t="shared" si="18"/>
        <v/>
      </c>
      <c r="N446" s="7" t="str">
        <f t="shared" si="19"/>
        <v/>
      </c>
      <c r="O446" s="7"/>
      <c r="P446" s="8" t="str">
        <f t="shared" si="20"/>
        <v/>
      </c>
    </row>
    <row r="447" spans="1:16">
      <c r="A447" s="6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 t="str">
        <f t="shared" si="18"/>
        <v/>
      </c>
      <c r="N447" s="7" t="str">
        <f t="shared" si="19"/>
        <v/>
      </c>
      <c r="O447" s="7"/>
      <c r="P447" s="8" t="str">
        <f t="shared" si="20"/>
        <v/>
      </c>
    </row>
    <row r="448" spans="1:16">
      <c r="A448" s="6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 t="str">
        <f t="shared" si="18"/>
        <v/>
      </c>
      <c r="N448" s="7" t="str">
        <f t="shared" si="19"/>
        <v/>
      </c>
      <c r="O448" s="7"/>
      <c r="P448" s="8" t="str">
        <f t="shared" si="20"/>
        <v/>
      </c>
    </row>
    <row r="449" spans="1:16">
      <c r="A449" s="6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 t="str">
        <f t="shared" si="18"/>
        <v/>
      </c>
      <c r="N449" s="7" t="str">
        <f t="shared" si="19"/>
        <v/>
      </c>
      <c r="O449" s="7"/>
      <c r="P449" s="8" t="str">
        <f t="shared" si="20"/>
        <v/>
      </c>
    </row>
    <row r="450" spans="1:16">
      <c r="A450" s="6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 t="str">
        <f t="shared" ref="M450:M503" si="21">IF($A450="","",SUM($C450:$L450))</f>
        <v/>
      </c>
      <c r="N450" s="7" t="str">
        <f t="shared" ref="N450:N503" si="22">IF($A450="","",SUM($C450:$L450))</f>
        <v/>
      </c>
      <c r="O450" s="7"/>
      <c r="P450" s="8" t="str">
        <f t="shared" ref="P450:P503" si="23">IF($A450="","",$M450-$N450-$O450)</f>
        <v/>
      </c>
    </row>
    <row r="451" spans="1:16">
      <c r="A451" s="6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 t="str">
        <f t="shared" si="21"/>
        <v/>
      </c>
      <c r="N451" s="7" t="str">
        <f t="shared" si="22"/>
        <v/>
      </c>
      <c r="O451" s="7"/>
      <c r="P451" s="8" t="str">
        <f t="shared" si="23"/>
        <v/>
      </c>
    </row>
    <row r="452" spans="1:16">
      <c r="A452" s="6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8" t="str">
        <f t="shared" si="21"/>
        <v/>
      </c>
      <c r="N452" s="7" t="str">
        <f t="shared" si="22"/>
        <v/>
      </c>
      <c r="O452" s="7"/>
      <c r="P452" s="8" t="str">
        <f t="shared" si="23"/>
        <v/>
      </c>
    </row>
    <row r="453" spans="1:16">
      <c r="A453" s="6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8" t="str">
        <f t="shared" si="21"/>
        <v/>
      </c>
      <c r="N453" s="7" t="str">
        <f t="shared" si="22"/>
        <v/>
      </c>
      <c r="O453" s="7"/>
      <c r="P453" s="8" t="str">
        <f t="shared" si="23"/>
        <v/>
      </c>
    </row>
    <row r="454" spans="1:16">
      <c r="A454" s="6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8" t="str">
        <f t="shared" si="21"/>
        <v/>
      </c>
      <c r="N454" s="7" t="str">
        <f t="shared" si="22"/>
        <v/>
      </c>
      <c r="O454" s="7"/>
      <c r="P454" s="8" t="str">
        <f t="shared" si="23"/>
        <v/>
      </c>
    </row>
    <row r="455" spans="1:16">
      <c r="A455" s="6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8" t="str">
        <f t="shared" si="21"/>
        <v/>
      </c>
      <c r="N455" s="7" t="str">
        <f t="shared" si="22"/>
        <v/>
      </c>
      <c r="O455" s="7"/>
      <c r="P455" s="8" t="str">
        <f t="shared" si="23"/>
        <v/>
      </c>
    </row>
    <row r="456" spans="1:16">
      <c r="A456" s="6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8" t="str">
        <f t="shared" si="21"/>
        <v/>
      </c>
      <c r="N456" s="7" t="str">
        <f t="shared" si="22"/>
        <v/>
      </c>
      <c r="O456" s="7"/>
      <c r="P456" s="8" t="str">
        <f t="shared" si="23"/>
        <v/>
      </c>
    </row>
    <row r="457" spans="1:16">
      <c r="A457" s="6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 t="str">
        <f t="shared" si="21"/>
        <v/>
      </c>
      <c r="N457" s="7" t="str">
        <f t="shared" si="22"/>
        <v/>
      </c>
      <c r="O457" s="7"/>
      <c r="P457" s="8" t="str">
        <f t="shared" si="23"/>
        <v/>
      </c>
    </row>
    <row r="458" spans="1:16">
      <c r="A458" s="6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 t="str">
        <f t="shared" si="21"/>
        <v/>
      </c>
      <c r="N458" s="7" t="str">
        <f t="shared" si="22"/>
        <v/>
      </c>
      <c r="O458" s="7"/>
      <c r="P458" s="8" t="str">
        <f t="shared" si="23"/>
        <v/>
      </c>
    </row>
    <row r="459" spans="1:16">
      <c r="A459" s="6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 t="str">
        <f t="shared" si="21"/>
        <v/>
      </c>
      <c r="N459" s="7" t="str">
        <f t="shared" si="22"/>
        <v/>
      </c>
      <c r="O459" s="7"/>
      <c r="P459" s="8" t="str">
        <f t="shared" si="23"/>
        <v/>
      </c>
    </row>
    <row r="460" spans="1:16">
      <c r="A460" s="6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 t="str">
        <f t="shared" si="21"/>
        <v/>
      </c>
      <c r="N460" s="7" t="str">
        <f t="shared" si="22"/>
        <v/>
      </c>
      <c r="O460" s="7"/>
      <c r="P460" s="8" t="str">
        <f t="shared" si="23"/>
        <v/>
      </c>
    </row>
    <row r="461" spans="1:16">
      <c r="A461" s="6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 t="str">
        <f t="shared" si="21"/>
        <v/>
      </c>
      <c r="N461" s="7" t="str">
        <f t="shared" si="22"/>
        <v/>
      </c>
      <c r="O461" s="7"/>
      <c r="P461" s="8" t="str">
        <f t="shared" si="23"/>
        <v/>
      </c>
    </row>
    <row r="462" spans="1:16">
      <c r="A462" s="6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 t="str">
        <f t="shared" si="21"/>
        <v/>
      </c>
      <c r="N462" s="7" t="str">
        <f t="shared" si="22"/>
        <v/>
      </c>
      <c r="O462" s="7"/>
      <c r="P462" s="8" t="str">
        <f t="shared" si="23"/>
        <v/>
      </c>
    </row>
    <row r="463" spans="1:16">
      <c r="A463" s="6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8" t="str">
        <f t="shared" si="21"/>
        <v/>
      </c>
      <c r="N463" s="7" t="str">
        <f t="shared" si="22"/>
        <v/>
      </c>
      <c r="O463" s="7"/>
      <c r="P463" s="8" t="str">
        <f t="shared" si="23"/>
        <v/>
      </c>
    </row>
    <row r="464" spans="1:16">
      <c r="A464" s="6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8" t="str">
        <f t="shared" si="21"/>
        <v/>
      </c>
      <c r="N464" s="7" t="str">
        <f t="shared" si="22"/>
        <v/>
      </c>
      <c r="O464" s="7"/>
      <c r="P464" s="8" t="str">
        <f t="shared" si="23"/>
        <v/>
      </c>
    </row>
    <row r="465" spans="1:16">
      <c r="A465" s="6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8" t="str">
        <f t="shared" si="21"/>
        <v/>
      </c>
      <c r="N465" s="7" t="str">
        <f t="shared" si="22"/>
        <v/>
      </c>
      <c r="O465" s="7"/>
      <c r="P465" s="8" t="str">
        <f t="shared" si="23"/>
        <v/>
      </c>
    </row>
    <row r="466" spans="1:16">
      <c r="A466" s="6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8" t="str">
        <f t="shared" si="21"/>
        <v/>
      </c>
      <c r="N466" s="7" t="str">
        <f t="shared" si="22"/>
        <v/>
      </c>
      <c r="O466" s="7"/>
      <c r="P466" s="8" t="str">
        <f t="shared" si="23"/>
        <v/>
      </c>
    </row>
    <row r="467" spans="1:16">
      <c r="A467" s="6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8" t="str">
        <f t="shared" si="21"/>
        <v/>
      </c>
      <c r="N467" s="7" t="str">
        <f t="shared" si="22"/>
        <v/>
      </c>
      <c r="O467" s="7"/>
      <c r="P467" s="8" t="str">
        <f t="shared" si="23"/>
        <v/>
      </c>
    </row>
    <row r="468" spans="1:16">
      <c r="A468" s="6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 t="str">
        <f t="shared" si="21"/>
        <v/>
      </c>
      <c r="N468" s="7" t="str">
        <f t="shared" si="22"/>
        <v/>
      </c>
      <c r="O468" s="7"/>
      <c r="P468" s="8" t="str">
        <f t="shared" si="23"/>
        <v/>
      </c>
    </row>
    <row r="469" spans="1:16">
      <c r="A469" s="6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 t="str">
        <f t="shared" si="21"/>
        <v/>
      </c>
      <c r="N469" s="7" t="str">
        <f t="shared" si="22"/>
        <v/>
      </c>
      <c r="O469" s="7"/>
      <c r="P469" s="8" t="str">
        <f t="shared" si="23"/>
        <v/>
      </c>
    </row>
    <row r="470" spans="1:16">
      <c r="A470" s="6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 t="str">
        <f t="shared" si="21"/>
        <v/>
      </c>
      <c r="N470" s="7" t="str">
        <f t="shared" si="22"/>
        <v/>
      </c>
      <c r="O470" s="7"/>
      <c r="P470" s="8" t="str">
        <f t="shared" si="23"/>
        <v/>
      </c>
    </row>
    <row r="471" spans="1:16">
      <c r="A471" s="6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 t="str">
        <f t="shared" si="21"/>
        <v/>
      </c>
      <c r="N471" s="7" t="str">
        <f t="shared" si="22"/>
        <v/>
      </c>
      <c r="O471" s="7"/>
      <c r="P471" s="8" t="str">
        <f t="shared" si="23"/>
        <v/>
      </c>
    </row>
    <row r="472" spans="1:16">
      <c r="A472" s="6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 t="str">
        <f t="shared" si="21"/>
        <v/>
      </c>
      <c r="N472" s="7" t="str">
        <f t="shared" si="22"/>
        <v/>
      </c>
      <c r="O472" s="7"/>
      <c r="P472" s="8" t="str">
        <f t="shared" si="23"/>
        <v/>
      </c>
    </row>
    <row r="473" spans="1:16">
      <c r="A473" s="6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 t="str">
        <f t="shared" si="21"/>
        <v/>
      </c>
      <c r="N473" s="7" t="str">
        <f t="shared" si="22"/>
        <v/>
      </c>
      <c r="O473" s="7"/>
      <c r="P473" s="8" t="str">
        <f t="shared" si="23"/>
        <v/>
      </c>
    </row>
    <row r="474" spans="1:16">
      <c r="A474" s="6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8" t="str">
        <f t="shared" si="21"/>
        <v/>
      </c>
      <c r="N474" s="7" t="str">
        <f t="shared" si="22"/>
        <v/>
      </c>
      <c r="O474" s="7"/>
      <c r="P474" s="8" t="str">
        <f t="shared" si="23"/>
        <v/>
      </c>
    </row>
    <row r="475" spans="1:16">
      <c r="A475" s="6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8" t="str">
        <f t="shared" si="21"/>
        <v/>
      </c>
      <c r="N475" s="7" t="str">
        <f t="shared" si="22"/>
        <v/>
      </c>
      <c r="O475" s="7"/>
      <c r="P475" s="8" t="str">
        <f t="shared" si="23"/>
        <v/>
      </c>
    </row>
    <row r="476" spans="1:16">
      <c r="A476" s="6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8" t="str">
        <f t="shared" si="21"/>
        <v/>
      </c>
      <c r="N476" s="7" t="str">
        <f t="shared" si="22"/>
        <v/>
      </c>
      <c r="O476" s="7"/>
      <c r="P476" s="8" t="str">
        <f t="shared" si="23"/>
        <v/>
      </c>
    </row>
    <row r="477" spans="1:16">
      <c r="A477" s="6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8" t="str">
        <f t="shared" si="21"/>
        <v/>
      </c>
      <c r="N477" s="7" t="str">
        <f t="shared" si="22"/>
        <v/>
      </c>
      <c r="O477" s="7"/>
      <c r="P477" s="8" t="str">
        <f t="shared" si="23"/>
        <v/>
      </c>
    </row>
    <row r="478" spans="1:16">
      <c r="A478" s="6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8" t="str">
        <f t="shared" si="21"/>
        <v/>
      </c>
      <c r="N478" s="7" t="str">
        <f t="shared" si="22"/>
        <v/>
      </c>
      <c r="O478" s="7"/>
      <c r="P478" s="8" t="str">
        <f t="shared" si="23"/>
        <v/>
      </c>
    </row>
    <row r="479" spans="1:16">
      <c r="A479" s="6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 t="str">
        <f t="shared" si="21"/>
        <v/>
      </c>
      <c r="N479" s="7" t="str">
        <f t="shared" si="22"/>
        <v/>
      </c>
      <c r="O479" s="7"/>
      <c r="P479" s="8" t="str">
        <f t="shared" si="23"/>
        <v/>
      </c>
    </row>
    <row r="480" spans="1:16">
      <c r="A480" s="6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 t="str">
        <f t="shared" si="21"/>
        <v/>
      </c>
      <c r="N480" s="7" t="str">
        <f t="shared" si="22"/>
        <v/>
      </c>
      <c r="O480" s="7"/>
      <c r="P480" s="8" t="str">
        <f t="shared" si="23"/>
        <v/>
      </c>
    </row>
    <row r="481" spans="1:16">
      <c r="A481" s="6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 t="str">
        <f t="shared" si="21"/>
        <v/>
      </c>
      <c r="N481" s="7" t="str">
        <f t="shared" si="22"/>
        <v/>
      </c>
      <c r="O481" s="7"/>
      <c r="P481" s="8" t="str">
        <f t="shared" si="23"/>
        <v/>
      </c>
    </row>
    <row r="482" spans="1:16">
      <c r="A482" s="6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 t="str">
        <f t="shared" si="21"/>
        <v/>
      </c>
      <c r="N482" s="7" t="str">
        <f t="shared" si="22"/>
        <v/>
      </c>
      <c r="O482" s="7"/>
      <c r="P482" s="8" t="str">
        <f t="shared" si="23"/>
        <v/>
      </c>
    </row>
    <row r="483" spans="1:16">
      <c r="A483" s="6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 t="str">
        <f t="shared" si="21"/>
        <v/>
      </c>
      <c r="N483" s="7" t="str">
        <f t="shared" si="22"/>
        <v/>
      </c>
      <c r="O483" s="7"/>
      <c r="P483" s="8" t="str">
        <f t="shared" si="23"/>
        <v/>
      </c>
    </row>
    <row r="484" spans="1:16">
      <c r="A484" s="6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 t="str">
        <f t="shared" si="21"/>
        <v/>
      </c>
      <c r="N484" s="7" t="str">
        <f t="shared" si="22"/>
        <v/>
      </c>
      <c r="O484" s="7"/>
      <c r="P484" s="8" t="str">
        <f t="shared" si="23"/>
        <v/>
      </c>
    </row>
    <row r="485" spans="1:16">
      <c r="A485" s="6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8" t="str">
        <f t="shared" si="21"/>
        <v/>
      </c>
      <c r="N485" s="7" t="str">
        <f t="shared" si="22"/>
        <v/>
      </c>
      <c r="O485" s="7"/>
      <c r="P485" s="8" t="str">
        <f t="shared" si="23"/>
        <v/>
      </c>
    </row>
    <row r="486" spans="1:16">
      <c r="A486" s="6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8" t="str">
        <f t="shared" si="21"/>
        <v/>
      </c>
      <c r="N486" s="7" t="str">
        <f t="shared" si="22"/>
        <v/>
      </c>
      <c r="O486" s="7"/>
      <c r="P486" s="8" t="str">
        <f t="shared" si="23"/>
        <v/>
      </c>
    </row>
    <row r="487" spans="1:16">
      <c r="A487" s="6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8" t="str">
        <f t="shared" si="21"/>
        <v/>
      </c>
      <c r="N487" s="7" t="str">
        <f t="shared" si="22"/>
        <v/>
      </c>
      <c r="O487" s="7"/>
      <c r="P487" s="8" t="str">
        <f t="shared" si="23"/>
        <v/>
      </c>
    </row>
    <row r="488" spans="1:16">
      <c r="A488" s="6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8" t="str">
        <f t="shared" si="21"/>
        <v/>
      </c>
      <c r="N488" s="7" t="str">
        <f t="shared" si="22"/>
        <v/>
      </c>
      <c r="O488" s="7"/>
      <c r="P488" s="8" t="str">
        <f t="shared" si="23"/>
        <v/>
      </c>
    </row>
    <row r="489" spans="1:16">
      <c r="A489" s="6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8" t="str">
        <f t="shared" si="21"/>
        <v/>
      </c>
      <c r="N489" s="7" t="str">
        <f t="shared" si="22"/>
        <v/>
      </c>
      <c r="O489" s="7"/>
      <c r="P489" s="8" t="str">
        <f t="shared" si="23"/>
        <v/>
      </c>
    </row>
    <row r="490" spans="1:16">
      <c r="A490" s="6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 t="str">
        <f t="shared" si="21"/>
        <v/>
      </c>
      <c r="N490" s="7" t="str">
        <f t="shared" si="22"/>
        <v/>
      </c>
      <c r="O490" s="7"/>
      <c r="P490" s="8" t="str">
        <f t="shared" si="23"/>
        <v/>
      </c>
    </row>
    <row r="491" spans="1:16">
      <c r="A491" s="6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 t="str">
        <f t="shared" si="21"/>
        <v/>
      </c>
      <c r="N491" s="7" t="str">
        <f t="shared" si="22"/>
        <v/>
      </c>
      <c r="O491" s="7"/>
      <c r="P491" s="8" t="str">
        <f t="shared" si="23"/>
        <v/>
      </c>
    </row>
    <row r="492" spans="1:16">
      <c r="A492" s="6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 t="str">
        <f t="shared" si="21"/>
        <v/>
      </c>
      <c r="N492" s="7" t="str">
        <f t="shared" si="22"/>
        <v/>
      </c>
      <c r="O492" s="7"/>
      <c r="P492" s="8" t="str">
        <f t="shared" si="23"/>
        <v/>
      </c>
    </row>
    <row r="493" spans="1:16">
      <c r="A493" s="6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 t="str">
        <f t="shared" si="21"/>
        <v/>
      </c>
      <c r="N493" s="7" t="str">
        <f t="shared" si="22"/>
        <v/>
      </c>
      <c r="O493" s="7"/>
      <c r="P493" s="8" t="str">
        <f t="shared" si="23"/>
        <v/>
      </c>
    </row>
    <row r="494" spans="1:16">
      <c r="A494" s="6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 t="str">
        <f t="shared" si="21"/>
        <v/>
      </c>
      <c r="N494" s="7" t="str">
        <f t="shared" si="22"/>
        <v/>
      </c>
      <c r="O494" s="7"/>
      <c r="P494" s="8" t="str">
        <f t="shared" si="23"/>
        <v/>
      </c>
    </row>
    <row r="495" spans="1:16">
      <c r="A495" s="6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 t="str">
        <f t="shared" si="21"/>
        <v/>
      </c>
      <c r="N495" s="7" t="str">
        <f t="shared" si="22"/>
        <v/>
      </c>
      <c r="O495" s="7"/>
      <c r="P495" s="8" t="str">
        <f t="shared" si="23"/>
        <v/>
      </c>
    </row>
    <row r="496" spans="1:16">
      <c r="A496" s="6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8" t="str">
        <f t="shared" si="21"/>
        <v/>
      </c>
      <c r="N496" s="7" t="str">
        <f t="shared" si="22"/>
        <v/>
      </c>
      <c r="O496" s="7"/>
      <c r="P496" s="8" t="str">
        <f t="shared" si="23"/>
        <v/>
      </c>
    </row>
    <row r="497" spans="1:16">
      <c r="A497" s="6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8" t="str">
        <f t="shared" si="21"/>
        <v/>
      </c>
      <c r="N497" s="7" t="str">
        <f t="shared" si="22"/>
        <v/>
      </c>
      <c r="O497" s="7"/>
      <c r="P497" s="8" t="str">
        <f t="shared" si="23"/>
        <v/>
      </c>
    </row>
    <row r="498" spans="1:16">
      <c r="A498" s="6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8" t="str">
        <f t="shared" si="21"/>
        <v/>
      </c>
      <c r="N498" s="7" t="str">
        <f t="shared" si="22"/>
        <v/>
      </c>
      <c r="O498" s="7"/>
      <c r="P498" s="8" t="str">
        <f t="shared" si="23"/>
        <v/>
      </c>
    </row>
    <row r="499" spans="1:16">
      <c r="A499" s="6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8" t="str">
        <f t="shared" si="21"/>
        <v/>
      </c>
      <c r="N499" s="7" t="str">
        <f t="shared" si="22"/>
        <v/>
      </c>
      <c r="O499" s="7"/>
      <c r="P499" s="8" t="str">
        <f t="shared" si="23"/>
        <v/>
      </c>
    </row>
    <row r="500" spans="1:16">
      <c r="A500" s="6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8" t="str">
        <f t="shared" si="21"/>
        <v/>
      </c>
      <c r="N500" s="7" t="str">
        <f t="shared" si="22"/>
        <v/>
      </c>
      <c r="O500" s="7"/>
      <c r="P500" s="8" t="str">
        <f t="shared" si="23"/>
        <v/>
      </c>
    </row>
    <row r="501" spans="1:16">
      <c r="A501" s="6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 t="str">
        <f t="shared" si="21"/>
        <v/>
      </c>
      <c r="N501" s="7" t="str">
        <f t="shared" si="22"/>
        <v/>
      </c>
      <c r="O501" s="7"/>
      <c r="P501" s="8" t="str">
        <f t="shared" si="23"/>
        <v/>
      </c>
    </row>
    <row r="502" spans="1:16">
      <c r="A502" s="6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 t="str">
        <f t="shared" si="21"/>
        <v/>
      </c>
      <c r="N502" s="7" t="str">
        <f t="shared" si="22"/>
        <v/>
      </c>
      <c r="O502" s="7"/>
      <c r="P502" s="8" t="str">
        <f t="shared" si="23"/>
        <v/>
      </c>
    </row>
    <row r="503" spans="1:16">
      <c r="A503" s="6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 t="str">
        <f t="shared" si="21"/>
        <v/>
      </c>
      <c r="N503" s="7" t="str">
        <f t="shared" si="22"/>
        <v/>
      </c>
      <c r="O503" s="7"/>
      <c r="P503" s="8" t="str">
        <f t="shared" si="23"/>
        <v/>
      </c>
    </row>
  </sheetData>
  <conditionalFormatting sqref="A2:P503">
    <cfRule type="expression" dxfId="16" priority="1">
      <formula>AND($A2&lt;&gt;"",SUM($N2:$O2)&lt;&gt;$M2)</formula>
    </cfRule>
    <cfRule type="expression" dxfId="15" priority="2">
      <formula>AND($A2&lt;&gt;"",SUM($N2:$O2)&gt;0,$B2="")</formula>
    </cfRule>
  </conditionalFormatting>
  <conditionalFormatting sqref="P2:P503">
    <cfRule type="cellIs" dxfId="14" priority="3" operator="greaterThan">
      <formula>0</formula>
    </cfRule>
    <cfRule type="cellIs" dxfId="13" priority="4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U100"/>
  <sheetViews>
    <sheetView workbookViewId="0">
      <selection sqref="A1:H1"/>
    </sheetView>
  </sheetViews>
  <sheetFormatPr defaultRowHeight="13.8"/>
  <cols>
    <col min="1" max="1" width="26" customWidth="1"/>
    <col min="2" max="2" width="19" customWidth="1"/>
  </cols>
  <sheetData>
    <row r="1" spans="1:21" ht="21">
      <c r="A1" s="29" t="s">
        <v>45</v>
      </c>
      <c r="B1" s="29"/>
      <c r="C1" s="29"/>
      <c r="D1" s="29"/>
      <c r="E1" s="29"/>
      <c r="F1" s="29"/>
      <c r="G1" s="29"/>
      <c r="H1" s="2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1" t="s">
        <v>46</v>
      </c>
      <c r="B3" s="20">
        <f>DATE('Monthly Dashboard'!$D$3,MATCH('Monthly Dashboard'!$B$3,Calc!$M$2:$M$13,0),1)</f>
        <v>46266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4.4">
      <c r="A4" s="28" t="s">
        <v>47</v>
      </c>
      <c r="B4" s="28"/>
      <c r="C4" s="28"/>
      <c r="D4" s="28"/>
      <c r="E4" s="28"/>
      <c r="F4" s="28"/>
      <c r="G4" s="28"/>
      <c r="H4" s="2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6" t="s">
        <v>48</v>
      </c>
      <c r="B5" s="21">
        <f>SUMIFS('Daily Sales &amp; Expenses'!$B$2:$B$495,'Daily Sales &amp; Expenses'!$A$2:$A$495,"&gt;="&amp;$B$3,'Daily Sales &amp; Expenses'!$A$2:$A$495,"&lt;"&amp;EDATE($B$3,1))</f>
        <v>226284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6" t="s">
        <v>49</v>
      </c>
      <c r="B6" s="21">
        <f>SUMIFS('Daily Sales &amp; Expenses'!$C$2:$C$495,'Daily Sales &amp; Expenses'!$A$2:$A$495,"&gt;="&amp;$B$3,'Daily Sales &amp; Expenses'!$A$2:$A$495,"&lt;"&amp;EDATE($B$3,1))</f>
        <v>18570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6" t="s">
        <v>50</v>
      </c>
      <c r="B7" s="21">
        <f>B5+B6</f>
        <v>244854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22" t="s">
        <v>51</v>
      </c>
      <c r="B8" s="2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0" t="str">
        <f>Settings!A7</f>
        <v>RawDawg</v>
      </c>
      <c r="B9" s="12">
        <f>SUMIFS('Weekly Purchases'!$C$2:$C$503,'Weekly Purchases'!$A$2:$A$503,"&gt;="&amp;$B$3,'Weekly Purchases'!$A$2:$A$503,"&lt;"&amp;EDATE($B$3,1))</f>
        <v>64049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0" t="str">
        <f>Settings!A8</f>
        <v>Fetch</v>
      </c>
      <c r="B10" s="12">
        <f>SUMIFS('Weekly Purchases'!$D$2:$D$503,'Weekly Purchases'!$A$2:$A$503,"&gt;="&amp;$B$3,'Weekly Purchases'!$A$2:$A$503,"&lt;"&amp;EDATE($B$3,1))</f>
        <v>95077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0" t="str">
        <f>Settings!A9</f>
        <v>Nord</v>
      </c>
      <c r="B11" s="12">
        <f>SUMIFS('Weekly Purchases'!$E$2:$E$503,'Weekly Purchases'!$A$2:$A$503,"&gt;="&amp;$B$3,'Weekly Purchases'!$A$2:$A$503,"&lt;"&amp;EDATE($B$3,1))</f>
        <v>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0" t="str">
        <f>Settings!A10</f>
        <v>Belucci</v>
      </c>
      <c r="B12" s="12">
        <f>SUMIFS('Weekly Purchases'!$F$2:$F$503,'Weekly Purchases'!$A$2:$A$503,"&gt;="&amp;$B$3,'Weekly Purchases'!$A$2:$A$503,"&lt;"&amp;EDATE($B$3,1))</f>
        <v>26500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0" t="str">
        <f>Settings!A11</f>
        <v>FoolHardy</v>
      </c>
      <c r="B13" s="12">
        <f>SUMIFS('Weekly Purchases'!$G$2:$G$503,'Weekly Purchases'!$A$2:$A$503,"&gt;="&amp;$B$3,'Weekly Purchases'!$A$2:$A$503,"&lt;"&amp;EDATE($B$3,1))</f>
        <v>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0" t="str">
        <f>Settings!A12</f>
        <v>Core</v>
      </c>
      <c r="B14" s="12">
        <f>SUMIFS('Weekly Purchases'!$H$2:$H$503,'Weekly Purchases'!$A$2:$A$503,"&gt;="&amp;$B$3,'Weekly Purchases'!$A$2:$A$503,"&lt;"&amp;EDATE($B$3,1))</f>
        <v>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0" t="str">
        <f>Settings!A13</f>
        <v>Dexer</v>
      </c>
      <c r="B15" s="12">
        <f>SUMIFS('Weekly Purchases'!$I$2:$I$503,'Weekly Purchases'!$A$2:$A$503,"&gt;="&amp;$B$3,'Weekly Purchases'!$A$2:$A$503,"&lt;"&amp;EDATE($B$3,1))</f>
        <v>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0" t="str">
        <f>Settings!A14</f>
        <v>Nordich</v>
      </c>
      <c r="B16" s="12">
        <f>SUMIFS('Weekly Purchases'!$J$2:$J$503,'Weekly Purchases'!$A$2:$A$503,"&gt;="&amp;$B$3,'Weekly Purchases'!$A$2:$A$503,"&lt;"&amp;EDATE($B$3,1))</f>
        <v>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 t="str">
        <f>Settings!A15</f>
        <v>Never</v>
      </c>
      <c r="B17" s="12">
        <f>SUMIFS('Weekly Purchases'!$K$2:$K$503,'Weekly Purchases'!$A$2:$A$503,"&gt;="&amp;$B$3,'Weekly Purchases'!$A$2:$A$503,"&lt;"&amp;EDATE($B$3,1))</f>
        <v>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 t="str">
        <f>Settings!A16</f>
        <v>Ozaro</v>
      </c>
      <c r="B18" s="12">
        <f>SUMIFS('Weekly Purchases'!$L$2:$L$503,'Weekly Purchases'!$A$2:$A$503,"&gt;="&amp;$B$3,'Weekly Purchases'!$A$2:$A$503,"&lt;"&amp;EDATE($B$3,1))</f>
        <v>8200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6" t="s">
        <v>52</v>
      </c>
      <c r="B19" s="21">
        <f>SUM(B9:B18)</f>
        <v>193826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22" t="s">
        <v>53</v>
      </c>
      <c r="B20" s="2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 t="s">
        <v>54</v>
      </c>
      <c r="B21" s="12">
        <f>SUMIFS('Daily Sales &amp; Expenses'!$E$2:$E$495,'Daily Sales &amp; Expenses'!$A$2:$A$495,"&gt;="&amp;$B$3,'Daily Sales &amp; Expenses'!$A$2:$A$495,"&lt;"&amp;EDATE($B$3,1))</f>
        <v>11200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 t="s">
        <v>55</v>
      </c>
      <c r="B22" s="12">
        <f>SUMIFS('Daily Sales &amp; Expenses'!$F$2:$F$495,'Daily Sales &amp; Expenses'!$A$2:$A$495,"&gt;="&amp;$B$3,'Daily Sales &amp; Expenses'!$A$2:$A$495,"&lt;"&amp;EDATE($B$3,1))</f>
        <v>2949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 t="s">
        <v>56</v>
      </c>
      <c r="B23" s="12">
        <f>SUMIFS('Daily Sales &amp; Expenses'!$G$2:$G$495,'Daily Sales &amp; Expenses'!$A$2:$A$495,"&gt;="&amp;$B$3,'Daily Sales &amp; Expenses'!$A$2:$A$495,"&lt;"&amp;EDATE($B$3,1))</f>
        <v>4475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 t="s">
        <v>57</v>
      </c>
      <c r="B24" s="12">
        <f>SUMIFS('Daily Sales &amp; Expenses'!$H$2:$H$495,'Daily Sales &amp; Expenses'!$A$2:$A$495,"&gt;="&amp;$B$3,'Daily Sales &amp; Expenses'!$A$2:$A$495,"&lt;"&amp;EDATE($B$3,1))</f>
        <v>4618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6" t="s">
        <v>8</v>
      </c>
      <c r="B25" s="21">
        <f>SUM(B21:B24)</f>
        <v>23242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22" t="s">
        <v>58</v>
      </c>
      <c r="B26" s="23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 t="s">
        <v>59</v>
      </c>
      <c r="B27" s="12">
        <f>Settings!$B$3+SUMIFS('Daily Sales &amp; Expenses'!$B$2:$B$495,'Daily Sales &amp; Expenses'!$A$2:$A$495,"&lt;"&amp;$B$3)-SUMIFS('Daily Sales &amp; Expenses'!$J$2:$J$495,'Daily Sales &amp; Expenses'!$A$2:$A$495,"&lt;"&amp;$B$3)-SUMIFS('Weekly Purchases'!$N$2:$N$503,'Weekly Purchases'!$B$2:$B$503,"&lt;"&amp;$B$3,'Weekly Purchases'!$B$2:$B$503,"&lt;&gt;")-SUMIFS('Weekly Purchases'!$N$2:$N$503,'Weekly Purchases'!$B$2:$B$503,"",'Weekly Purchases'!$A$2:$A$503,"&lt;"&amp;$B$3)</f>
        <v>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 t="s">
        <v>60</v>
      </c>
      <c r="B28" s="12">
        <f>B27+B5-SUMIFS('Daily Sales &amp; Expenses'!$J$2:$J$495,'Daily Sales &amp; Expenses'!$A$2:$A$495,"&gt;="&amp;$B$3,'Daily Sales &amp; Expenses'!$A$2:$A$495,"&lt;"&amp;EDATE($B$3,1))-SUMIFS('Weekly Purchases'!$N$2:$N$503,'Weekly Purchases'!$B$2:$B$503,"&gt;="&amp;$B$3,'Weekly Purchases'!$B$2:$B$503,"&lt;"&amp;EDATE($B$3,1),'Weekly Purchases'!$B$2:$B$503,"&lt;&gt;")-SUMIFS('Weekly Purchases'!$N$2:$N$503,'Weekly Purchases'!$B$2:$B$503,"",'Weekly Purchases'!$A$2:$A$503,"&gt;="&amp;$B$3,'Weekly Purchases'!$A$2:$A$503,"&lt;"&amp;EDATE($B$3,1))</f>
        <v>9216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 t="s">
        <v>61</v>
      </c>
      <c r="B29" s="12">
        <f>Settings!$B$4+SUMIFS('Daily Sales &amp; Expenses'!$C$2:$C$495,'Daily Sales &amp; Expenses'!$A$2:$A$495,"&lt;"&amp;$B$3)-SUMIFS('Daily Sales &amp; Expenses'!$K$2:$K$495,'Daily Sales &amp; Expenses'!$A$2:$A$495,"&lt;"&amp;$B$3)-SUMIFS('Weekly Purchases'!$O$2:$O$503,'Weekly Purchases'!$B$2:$B$503,"&lt;"&amp;$B$3,'Weekly Purchases'!$B$2:$B$503,"&lt;&gt;")-SUMIFS('Weekly Purchases'!$O$2:$O$503,'Weekly Purchases'!$B$2:$B$503,"",'Weekly Purchases'!$A$2:$A$503,"&lt;"&amp;$B$3)</f>
        <v>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 t="s">
        <v>62</v>
      </c>
      <c r="B30" s="12">
        <f>B29+B6-SUMIFS('Daily Sales &amp; Expenses'!$K$2:$K$495,'Daily Sales &amp; Expenses'!$A$2:$A$495,"&gt;="&amp;$B$3,'Daily Sales &amp; Expenses'!$A$2:$A$495,"&lt;"&amp;EDATE($B$3,1))-SUMIFS('Weekly Purchases'!$O$2:$O$503,'Weekly Purchases'!$B$2:$B$503,"&gt;="&amp;$B$3,'Weekly Purchases'!$B$2:$B$503,"&lt;"&amp;EDATE($B$3,1),'Weekly Purchases'!$B$2:$B$503,"&lt;&gt;")-SUMIFS('Weekly Purchases'!$O$2:$O$503,'Weekly Purchases'!$B$2:$B$503,"",'Weekly Purchases'!$A$2:$A$503,"&gt;="&amp;$B$3,'Weekly Purchases'!$A$2:$A$503,"&lt;"&amp;EDATE($B$3,1))</f>
        <v>18570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6" t="s">
        <v>63</v>
      </c>
      <c r="B31" s="21">
        <f>B28+B30</f>
        <v>27786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22" t="s">
        <v>64</v>
      </c>
      <c r="B32" s="2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6" t="s">
        <v>12</v>
      </c>
      <c r="B33" s="21">
        <f>B7-B19-B25</f>
        <v>27786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mergeCells count="2">
    <mergeCell ref="A1:H1"/>
    <mergeCell ref="A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0"/>
  <sheetViews>
    <sheetView workbookViewId="0">
      <selection sqref="A1:D1"/>
    </sheetView>
  </sheetViews>
  <sheetFormatPr defaultRowHeight="13.8"/>
  <cols>
    <col min="1" max="1" width="26" customWidth="1"/>
    <col min="2" max="2" width="18" customWidth="1"/>
    <col min="3" max="3" width="22" customWidth="1"/>
  </cols>
  <sheetData>
    <row r="1" spans="1:21" ht="21">
      <c r="A1" s="29" t="s">
        <v>65</v>
      </c>
      <c r="B1" s="29"/>
      <c r="C1" s="29"/>
      <c r="D1" s="2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1" t="s">
        <v>59</v>
      </c>
      <c r="B3" s="24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1" t="s">
        <v>61</v>
      </c>
      <c r="B4" s="24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9" t="s">
        <v>66</v>
      </c>
      <c r="B6" s="9"/>
      <c r="C6" s="9" t="s">
        <v>67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9" t="s">
        <v>68</v>
      </c>
      <c r="B7" s="10"/>
      <c r="C7" s="19" t="s">
        <v>54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9" t="s">
        <v>69</v>
      </c>
      <c r="B8" s="10"/>
      <c r="C8" s="19" t="s">
        <v>55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9" t="s">
        <v>70</v>
      </c>
      <c r="B9" s="10"/>
      <c r="C9" s="19" t="s">
        <v>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9" t="s">
        <v>71</v>
      </c>
      <c r="B10" s="10"/>
      <c r="C10" s="19" t="s">
        <v>57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9" t="s">
        <v>72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9" t="s">
        <v>73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9" t="s">
        <v>74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9" t="s">
        <v>75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9" t="s">
        <v>76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9" t="s">
        <v>77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73"/>
  <sheetViews>
    <sheetView workbookViewId="0">
      <selection activeCell="A9" sqref="A9"/>
    </sheetView>
  </sheetViews>
  <sheetFormatPr defaultRowHeight="13.8"/>
  <cols>
    <col min="1" max="1" width="11.5" bestFit="1" customWidth="1"/>
  </cols>
  <sheetData>
    <row r="1" spans="1:18">
      <c r="A1" s="1" t="s">
        <v>78</v>
      </c>
      <c r="B1" s="1" t="s">
        <v>79</v>
      </c>
      <c r="C1" s="1"/>
      <c r="D1" s="1" t="s">
        <v>80</v>
      </c>
      <c r="E1" s="1" t="s">
        <v>81</v>
      </c>
      <c r="F1" s="1"/>
      <c r="G1" s="1" t="s">
        <v>80</v>
      </c>
      <c r="H1" s="1" t="s">
        <v>81</v>
      </c>
      <c r="I1" s="1"/>
      <c r="J1" s="1" t="s">
        <v>82</v>
      </c>
      <c r="K1" s="1" t="s">
        <v>83</v>
      </c>
      <c r="L1" s="1"/>
      <c r="M1" s="1" t="s">
        <v>1</v>
      </c>
      <c r="N1" s="1" t="s">
        <v>14</v>
      </c>
      <c r="O1" s="1" t="s">
        <v>83</v>
      </c>
      <c r="P1" s="1" t="s">
        <v>15</v>
      </c>
      <c r="Q1" s="1" t="s">
        <v>12</v>
      </c>
      <c r="R1" s="1" t="s">
        <v>21</v>
      </c>
    </row>
    <row r="2" spans="1:18">
      <c r="A2" s="2">
        <v>43831</v>
      </c>
      <c r="B2" s="3">
        <v>2020</v>
      </c>
      <c r="D2" t="s">
        <v>4</v>
      </c>
      <c r="E2">
        <f>'Monthly Summary'!B5</f>
        <v>226284</v>
      </c>
      <c r="G2" t="s">
        <v>14</v>
      </c>
      <c r="H2">
        <f>'Monthly Summary'!B7</f>
        <v>244854</v>
      </c>
      <c r="J2" t="str">
        <f>Settings!A7</f>
        <v>RawDawg</v>
      </c>
      <c r="K2">
        <f>'Monthly Summary'!B9</f>
        <v>64049</v>
      </c>
      <c r="M2" t="s">
        <v>22</v>
      </c>
      <c r="N2">
        <f>'Yearly Dashboard'!B6</f>
        <v>0</v>
      </c>
      <c r="O2">
        <f>'Yearly Dashboard'!C6</f>
        <v>0</v>
      </c>
      <c r="P2">
        <f>'Yearly Dashboard'!D6</f>
        <v>0</v>
      </c>
      <c r="Q2">
        <f>'Yearly Dashboard'!E6</f>
        <v>0</v>
      </c>
      <c r="R2">
        <f>'Yearly Dashboard'!F6</f>
        <v>0</v>
      </c>
    </row>
    <row r="3" spans="1:18">
      <c r="A3" s="2">
        <v>43862</v>
      </c>
      <c r="B3" s="3">
        <v>2021</v>
      </c>
      <c r="D3" t="s">
        <v>5</v>
      </c>
      <c r="E3">
        <f>'Monthly Summary'!B6</f>
        <v>18570</v>
      </c>
      <c r="G3" t="s">
        <v>83</v>
      </c>
      <c r="H3">
        <f>'Monthly Summary'!B19</f>
        <v>193826</v>
      </c>
      <c r="J3" t="str">
        <f>Settings!A8</f>
        <v>Fetch</v>
      </c>
      <c r="K3">
        <f>'Monthly Summary'!B10</f>
        <v>95077</v>
      </c>
      <c r="M3" t="s">
        <v>23</v>
      </c>
      <c r="N3">
        <f>'Yearly Dashboard'!B7</f>
        <v>0</v>
      </c>
      <c r="O3">
        <f>'Yearly Dashboard'!C7</f>
        <v>0</v>
      </c>
      <c r="P3">
        <f>'Yearly Dashboard'!D7</f>
        <v>0</v>
      </c>
      <c r="Q3">
        <f>'Yearly Dashboard'!E7</f>
        <v>0</v>
      </c>
      <c r="R3">
        <f>'Yearly Dashboard'!F7</f>
        <v>0</v>
      </c>
    </row>
    <row r="4" spans="1:18">
      <c r="A4" s="2">
        <v>43891</v>
      </c>
      <c r="B4" s="3">
        <v>2022</v>
      </c>
      <c r="D4" t="s">
        <v>6</v>
      </c>
      <c r="E4">
        <f>'Monthly Summary'!B7</f>
        <v>244854</v>
      </c>
      <c r="G4" t="s">
        <v>15</v>
      </c>
      <c r="H4">
        <f>'Monthly Summary'!B25</f>
        <v>23242</v>
      </c>
      <c r="J4" t="str">
        <f>Settings!A9</f>
        <v>Nord</v>
      </c>
      <c r="K4">
        <f>'Monthly Summary'!B11</f>
        <v>0</v>
      </c>
      <c r="M4" t="s">
        <v>24</v>
      </c>
      <c r="N4">
        <f>'Yearly Dashboard'!B8</f>
        <v>0</v>
      </c>
      <c r="O4">
        <f>'Yearly Dashboard'!C8</f>
        <v>0</v>
      </c>
      <c r="P4">
        <f>'Yearly Dashboard'!D8</f>
        <v>0</v>
      </c>
      <c r="Q4">
        <f>'Yearly Dashboard'!E8</f>
        <v>0</v>
      </c>
      <c r="R4">
        <f>'Yearly Dashboard'!F8</f>
        <v>0</v>
      </c>
    </row>
    <row r="5" spans="1:18">
      <c r="A5" s="2">
        <v>43922</v>
      </c>
      <c r="B5" s="3">
        <v>2023</v>
      </c>
      <c r="J5" t="str">
        <f>Settings!A10</f>
        <v>Belucci</v>
      </c>
      <c r="K5">
        <f>'Monthly Summary'!B12</f>
        <v>26500</v>
      </c>
      <c r="M5" t="s">
        <v>25</v>
      </c>
      <c r="N5">
        <f>'Yearly Dashboard'!B9</f>
        <v>0</v>
      </c>
      <c r="O5">
        <f>'Yearly Dashboard'!C9</f>
        <v>0</v>
      </c>
      <c r="P5">
        <f>'Yearly Dashboard'!D9</f>
        <v>0</v>
      </c>
      <c r="Q5">
        <f>'Yearly Dashboard'!E9</f>
        <v>0</v>
      </c>
      <c r="R5">
        <f>'Yearly Dashboard'!F9</f>
        <v>0</v>
      </c>
    </row>
    <row r="6" spans="1:18">
      <c r="A6" s="2">
        <v>43952</v>
      </c>
      <c r="B6" s="3">
        <v>2024</v>
      </c>
      <c r="J6" t="str">
        <f>Settings!A11</f>
        <v>FoolHardy</v>
      </c>
      <c r="K6">
        <f>'Monthly Summary'!B13</f>
        <v>0</v>
      </c>
      <c r="M6" t="s">
        <v>26</v>
      </c>
      <c r="N6">
        <f>'Yearly Dashboard'!B10</f>
        <v>0</v>
      </c>
      <c r="O6">
        <f>'Yearly Dashboard'!C10</f>
        <v>0</v>
      </c>
      <c r="P6">
        <f>'Yearly Dashboard'!D10</f>
        <v>0</v>
      </c>
      <c r="Q6">
        <f>'Yearly Dashboard'!E10</f>
        <v>0</v>
      </c>
      <c r="R6">
        <f>'Yearly Dashboard'!F10</f>
        <v>0</v>
      </c>
    </row>
    <row r="7" spans="1:18">
      <c r="A7" s="2">
        <v>43983</v>
      </c>
      <c r="B7" s="3">
        <v>2025</v>
      </c>
      <c r="J7" t="str">
        <f>Settings!A12</f>
        <v>Core</v>
      </c>
      <c r="K7">
        <f>'Monthly Summary'!B14</f>
        <v>0</v>
      </c>
      <c r="M7" t="s">
        <v>27</v>
      </c>
      <c r="N7">
        <f>'Yearly Dashboard'!B11</f>
        <v>0</v>
      </c>
      <c r="O7">
        <f>'Yearly Dashboard'!C11</f>
        <v>0</v>
      </c>
      <c r="P7">
        <f>'Yearly Dashboard'!D11</f>
        <v>0</v>
      </c>
      <c r="Q7">
        <f>'Yearly Dashboard'!E11</f>
        <v>0</v>
      </c>
      <c r="R7">
        <f>'Yearly Dashboard'!F11</f>
        <v>0</v>
      </c>
    </row>
    <row r="8" spans="1:18">
      <c r="A8" s="2">
        <v>44013</v>
      </c>
      <c r="B8" s="3">
        <v>2026</v>
      </c>
      <c r="J8" t="str">
        <f>Settings!A13</f>
        <v>Dexer</v>
      </c>
      <c r="K8">
        <f>'Monthly Summary'!B15</f>
        <v>0</v>
      </c>
      <c r="M8" t="s">
        <v>28</v>
      </c>
      <c r="N8">
        <f>'Yearly Dashboard'!B12</f>
        <v>0</v>
      </c>
      <c r="O8">
        <f>'Yearly Dashboard'!C12</f>
        <v>0</v>
      </c>
      <c r="P8">
        <f>'Yearly Dashboard'!D12</f>
        <v>0</v>
      </c>
      <c r="Q8">
        <f>'Yearly Dashboard'!E12</f>
        <v>0</v>
      </c>
      <c r="R8">
        <f>'Yearly Dashboard'!F12</f>
        <v>0</v>
      </c>
    </row>
    <row r="9" spans="1:18">
      <c r="A9" s="2">
        <v>44044</v>
      </c>
      <c r="B9" s="3">
        <v>2027</v>
      </c>
      <c r="J9" t="str">
        <f>Settings!A14</f>
        <v>Nordich</v>
      </c>
      <c r="K9">
        <f>'Monthly Summary'!B16</f>
        <v>0</v>
      </c>
      <c r="M9" t="s">
        <v>29</v>
      </c>
      <c r="N9">
        <f>'Yearly Dashboard'!B13</f>
        <v>0</v>
      </c>
      <c r="O9">
        <f>'Yearly Dashboard'!C13</f>
        <v>0</v>
      </c>
      <c r="P9">
        <f>'Yearly Dashboard'!D13</f>
        <v>0</v>
      </c>
      <c r="Q9">
        <f>'Yearly Dashboard'!E13</f>
        <v>0</v>
      </c>
      <c r="R9">
        <f>'Yearly Dashboard'!F13</f>
        <v>0</v>
      </c>
    </row>
    <row r="10" spans="1:18">
      <c r="A10" s="2">
        <v>44075</v>
      </c>
      <c r="B10" s="3">
        <v>2028</v>
      </c>
      <c r="J10" t="str">
        <f>Settings!A15</f>
        <v>Never</v>
      </c>
      <c r="K10">
        <f>'Monthly Summary'!B17</f>
        <v>0</v>
      </c>
      <c r="M10" t="s">
        <v>2</v>
      </c>
      <c r="N10">
        <f>'Yearly Dashboard'!B14</f>
        <v>244854</v>
      </c>
      <c r="O10">
        <f>'Yearly Dashboard'!C14</f>
        <v>193826</v>
      </c>
      <c r="P10">
        <f>'Yearly Dashboard'!D14</f>
        <v>23242</v>
      </c>
      <c r="Q10">
        <f>'Yearly Dashboard'!E14</f>
        <v>27786</v>
      </c>
      <c r="R10">
        <f>'Yearly Dashboard'!F14</f>
        <v>27786</v>
      </c>
    </row>
    <row r="11" spans="1:18">
      <c r="A11" s="2">
        <v>44105</v>
      </c>
      <c r="B11" s="3">
        <v>2029</v>
      </c>
      <c r="J11" t="str">
        <f>Settings!A16</f>
        <v>Ozaro</v>
      </c>
      <c r="K11">
        <f>'Monthly Summary'!B18</f>
        <v>8200</v>
      </c>
      <c r="M11" t="s">
        <v>30</v>
      </c>
      <c r="N11">
        <f>'Yearly Dashboard'!B15</f>
        <v>0</v>
      </c>
      <c r="O11">
        <f>'Yearly Dashboard'!C15</f>
        <v>0</v>
      </c>
      <c r="P11">
        <f>'Yearly Dashboard'!D15</f>
        <v>0</v>
      </c>
      <c r="Q11">
        <f>'Yearly Dashboard'!E15</f>
        <v>0</v>
      </c>
      <c r="R11">
        <f>'Yearly Dashboard'!F15</f>
        <v>27786</v>
      </c>
    </row>
    <row r="12" spans="1:18">
      <c r="A12" s="2">
        <v>44136</v>
      </c>
      <c r="B12" s="3">
        <v>2030</v>
      </c>
      <c r="M12" t="s">
        <v>31</v>
      </c>
      <c r="N12">
        <f>'Yearly Dashboard'!B16</f>
        <v>0</v>
      </c>
      <c r="O12">
        <f>'Yearly Dashboard'!C16</f>
        <v>0</v>
      </c>
      <c r="P12">
        <f>'Yearly Dashboard'!D16</f>
        <v>0</v>
      </c>
      <c r="Q12">
        <f>'Yearly Dashboard'!E16</f>
        <v>0</v>
      </c>
      <c r="R12">
        <f>'Yearly Dashboard'!F16</f>
        <v>27786</v>
      </c>
    </row>
    <row r="13" spans="1:18">
      <c r="A13" s="2">
        <v>44166</v>
      </c>
      <c r="B13" s="3">
        <v>2031</v>
      </c>
      <c r="M13" t="s">
        <v>32</v>
      </c>
      <c r="N13">
        <f>'Yearly Dashboard'!B17</f>
        <v>0</v>
      </c>
      <c r="O13">
        <f>'Yearly Dashboard'!C17</f>
        <v>0</v>
      </c>
      <c r="P13">
        <f>'Yearly Dashboard'!D17</f>
        <v>0</v>
      </c>
      <c r="Q13">
        <f>'Yearly Dashboard'!E17</f>
        <v>0</v>
      </c>
      <c r="R13">
        <f>'Yearly Dashboard'!F17</f>
        <v>27786</v>
      </c>
    </row>
    <row r="14" spans="1:18">
      <c r="A14" s="2">
        <v>44197</v>
      </c>
      <c r="B14" s="3">
        <v>2032</v>
      </c>
    </row>
    <row r="15" spans="1:18">
      <c r="A15" s="2">
        <v>44228</v>
      </c>
      <c r="B15" s="3">
        <v>2033</v>
      </c>
    </row>
    <row r="16" spans="1:18">
      <c r="A16" s="2">
        <v>44256</v>
      </c>
      <c r="B16" s="3">
        <v>2034</v>
      </c>
    </row>
    <row r="17" spans="1:2">
      <c r="A17" s="2">
        <v>44287</v>
      </c>
      <c r="B17" s="3">
        <v>2035</v>
      </c>
    </row>
    <row r="18" spans="1:2">
      <c r="A18" s="2">
        <v>44317</v>
      </c>
      <c r="B18" s="3">
        <v>2036</v>
      </c>
    </row>
    <row r="19" spans="1:2">
      <c r="A19" s="2">
        <v>44348</v>
      </c>
      <c r="B19" s="3">
        <v>2037</v>
      </c>
    </row>
    <row r="20" spans="1:2">
      <c r="A20" s="2">
        <v>44378</v>
      </c>
      <c r="B20" s="3">
        <v>2038</v>
      </c>
    </row>
    <row r="21" spans="1:2">
      <c r="A21" s="2">
        <v>44409</v>
      </c>
      <c r="B21" s="3">
        <v>2039</v>
      </c>
    </row>
    <row r="22" spans="1:2">
      <c r="A22" s="2">
        <v>44440</v>
      </c>
      <c r="B22" s="3">
        <v>2040</v>
      </c>
    </row>
    <row r="23" spans="1:2">
      <c r="A23" s="2">
        <v>44470</v>
      </c>
      <c r="B23" s="3">
        <v>2041</v>
      </c>
    </row>
    <row r="24" spans="1:2">
      <c r="A24" s="2">
        <v>44501</v>
      </c>
      <c r="B24" s="3">
        <v>2042</v>
      </c>
    </row>
    <row r="25" spans="1:2">
      <c r="A25" s="2">
        <v>44531</v>
      </c>
      <c r="B25" s="3">
        <v>2043</v>
      </c>
    </row>
    <row r="26" spans="1:2">
      <c r="A26" s="2">
        <v>44562</v>
      </c>
      <c r="B26" s="3">
        <v>2044</v>
      </c>
    </row>
    <row r="27" spans="1:2">
      <c r="A27" s="2">
        <v>44593</v>
      </c>
      <c r="B27" s="3">
        <v>2045</v>
      </c>
    </row>
    <row r="28" spans="1:2">
      <c r="A28" s="2">
        <v>44621</v>
      </c>
      <c r="B28" s="3">
        <v>2046</v>
      </c>
    </row>
    <row r="29" spans="1:2">
      <c r="A29" s="2">
        <v>44652</v>
      </c>
      <c r="B29" s="3">
        <v>2047</v>
      </c>
    </row>
    <row r="30" spans="1:2">
      <c r="A30" s="2">
        <v>44682</v>
      </c>
      <c r="B30" s="3">
        <v>2048</v>
      </c>
    </row>
    <row r="31" spans="1:2">
      <c r="A31" s="2">
        <v>44713</v>
      </c>
      <c r="B31" s="3">
        <v>2049</v>
      </c>
    </row>
    <row r="32" spans="1:2">
      <c r="A32" s="2">
        <v>44743</v>
      </c>
      <c r="B32" s="3">
        <v>2050</v>
      </c>
    </row>
    <row r="33" spans="1:2">
      <c r="A33" s="2">
        <v>44774</v>
      </c>
      <c r="B33" s="3">
        <v>2051</v>
      </c>
    </row>
    <row r="34" spans="1:2">
      <c r="A34" s="2">
        <v>44805</v>
      </c>
      <c r="B34" s="3">
        <v>2052</v>
      </c>
    </row>
    <row r="35" spans="1:2">
      <c r="A35" s="2">
        <v>44835</v>
      </c>
      <c r="B35" s="3">
        <v>2053</v>
      </c>
    </row>
    <row r="36" spans="1:2">
      <c r="A36" s="2">
        <v>44866</v>
      </c>
      <c r="B36" s="3">
        <v>2054</v>
      </c>
    </row>
    <row r="37" spans="1:2">
      <c r="A37" s="2">
        <v>44896</v>
      </c>
      <c r="B37" s="3">
        <v>2055</v>
      </c>
    </row>
    <row r="38" spans="1:2">
      <c r="A38" s="2">
        <v>44927</v>
      </c>
      <c r="B38" s="3">
        <v>2056</v>
      </c>
    </row>
    <row r="39" spans="1:2">
      <c r="A39" s="2">
        <v>44958</v>
      </c>
      <c r="B39" s="3">
        <v>2057</v>
      </c>
    </row>
    <row r="40" spans="1:2">
      <c r="A40" s="2">
        <v>44986</v>
      </c>
      <c r="B40" s="3">
        <v>2058</v>
      </c>
    </row>
    <row r="41" spans="1:2">
      <c r="A41" s="2">
        <v>45017</v>
      </c>
      <c r="B41" s="3">
        <v>2059</v>
      </c>
    </row>
    <row r="42" spans="1:2">
      <c r="A42" s="2">
        <v>45047</v>
      </c>
      <c r="B42" s="3">
        <v>2060</v>
      </c>
    </row>
    <row r="43" spans="1:2">
      <c r="A43" s="2">
        <v>45078</v>
      </c>
      <c r="B43" s="3">
        <v>2061</v>
      </c>
    </row>
    <row r="44" spans="1:2">
      <c r="A44" s="2">
        <v>45108</v>
      </c>
      <c r="B44" s="3">
        <v>2062</v>
      </c>
    </row>
    <row r="45" spans="1:2">
      <c r="A45" s="2">
        <v>45139</v>
      </c>
      <c r="B45" s="3">
        <v>2063</v>
      </c>
    </row>
    <row r="46" spans="1:2">
      <c r="A46" s="2">
        <v>45170</v>
      </c>
      <c r="B46" s="3">
        <v>2064</v>
      </c>
    </row>
    <row r="47" spans="1:2">
      <c r="A47" s="2">
        <v>45200</v>
      </c>
      <c r="B47" s="3">
        <v>2065</v>
      </c>
    </row>
    <row r="48" spans="1:2">
      <c r="A48" s="2">
        <v>45231</v>
      </c>
      <c r="B48" s="3">
        <v>2066</v>
      </c>
    </row>
    <row r="49" spans="1:2">
      <c r="A49" s="2">
        <v>45261</v>
      </c>
      <c r="B49" s="3">
        <v>2067</v>
      </c>
    </row>
    <row r="50" spans="1:2">
      <c r="A50" s="2">
        <v>45292</v>
      </c>
      <c r="B50" s="3">
        <v>2068</v>
      </c>
    </row>
    <row r="51" spans="1:2">
      <c r="A51" s="2">
        <v>45323</v>
      </c>
      <c r="B51" s="3">
        <v>2069</v>
      </c>
    </row>
    <row r="52" spans="1:2">
      <c r="A52" s="2">
        <v>45352</v>
      </c>
      <c r="B52" s="3">
        <v>2070</v>
      </c>
    </row>
    <row r="53" spans="1:2">
      <c r="A53" s="2">
        <v>45383</v>
      </c>
      <c r="B53" s="3">
        <v>2071</v>
      </c>
    </row>
    <row r="54" spans="1:2">
      <c r="A54" s="2">
        <v>45413</v>
      </c>
      <c r="B54" s="3">
        <v>2072</v>
      </c>
    </row>
    <row r="55" spans="1:2">
      <c r="A55" s="2">
        <v>45444</v>
      </c>
      <c r="B55" s="3">
        <v>2073</v>
      </c>
    </row>
    <row r="56" spans="1:2">
      <c r="A56" s="2">
        <v>45474</v>
      </c>
      <c r="B56" s="3">
        <v>2074</v>
      </c>
    </row>
    <row r="57" spans="1:2">
      <c r="A57" s="2">
        <v>45505</v>
      </c>
      <c r="B57" s="3">
        <v>2075</v>
      </c>
    </row>
    <row r="58" spans="1:2">
      <c r="A58" s="2">
        <v>45536</v>
      </c>
      <c r="B58" s="3">
        <v>2076</v>
      </c>
    </row>
    <row r="59" spans="1:2">
      <c r="A59" s="2">
        <v>45566</v>
      </c>
      <c r="B59" s="3">
        <v>2077</v>
      </c>
    </row>
    <row r="60" spans="1:2">
      <c r="A60" s="2">
        <v>45597</v>
      </c>
      <c r="B60" s="3">
        <v>2078</v>
      </c>
    </row>
    <row r="61" spans="1:2">
      <c r="A61" s="2">
        <v>45627</v>
      </c>
      <c r="B61" s="3">
        <v>2079</v>
      </c>
    </row>
    <row r="62" spans="1:2">
      <c r="A62" s="2">
        <v>45658</v>
      </c>
      <c r="B62" s="3">
        <v>2080</v>
      </c>
    </row>
    <row r="63" spans="1:2">
      <c r="A63" s="2">
        <v>45689</v>
      </c>
      <c r="B63" s="3">
        <v>2081</v>
      </c>
    </row>
    <row r="64" spans="1:2">
      <c r="A64" s="2">
        <v>45717</v>
      </c>
      <c r="B64" s="3">
        <v>2082</v>
      </c>
    </row>
    <row r="65" spans="1:2">
      <c r="A65" s="2">
        <v>45748</v>
      </c>
      <c r="B65" s="3">
        <v>2083</v>
      </c>
    </row>
    <row r="66" spans="1:2">
      <c r="A66" s="2">
        <v>45778</v>
      </c>
      <c r="B66" s="3">
        <v>2084</v>
      </c>
    </row>
    <row r="67" spans="1:2">
      <c r="A67" s="2">
        <v>45809</v>
      </c>
      <c r="B67" s="3">
        <v>2085</v>
      </c>
    </row>
    <row r="68" spans="1:2">
      <c r="A68" s="2">
        <v>45839</v>
      </c>
      <c r="B68" s="3">
        <v>2086</v>
      </c>
    </row>
    <row r="69" spans="1:2">
      <c r="A69" s="2">
        <v>45870</v>
      </c>
      <c r="B69" s="3">
        <v>2087</v>
      </c>
    </row>
    <row r="70" spans="1:2">
      <c r="A70" s="2">
        <v>45901</v>
      </c>
      <c r="B70" s="3">
        <v>2088</v>
      </c>
    </row>
    <row r="71" spans="1:2">
      <c r="A71" s="2">
        <v>45931</v>
      </c>
      <c r="B71" s="3">
        <v>2089</v>
      </c>
    </row>
    <row r="72" spans="1:2">
      <c r="A72" s="2">
        <v>45962</v>
      </c>
      <c r="B72" s="3">
        <v>2090</v>
      </c>
    </row>
    <row r="73" spans="1:2">
      <c r="A73" s="2">
        <v>45992</v>
      </c>
      <c r="B73" s="3">
        <v>2091</v>
      </c>
    </row>
    <row r="74" spans="1:2">
      <c r="A74" s="2">
        <v>46023</v>
      </c>
      <c r="B74" s="3">
        <v>2092</v>
      </c>
    </row>
    <row r="75" spans="1:2">
      <c r="A75" s="2">
        <v>46054</v>
      </c>
      <c r="B75" s="3">
        <v>2093</v>
      </c>
    </row>
    <row r="76" spans="1:2">
      <c r="A76" s="2">
        <v>46082</v>
      </c>
      <c r="B76" s="3">
        <v>2094</v>
      </c>
    </row>
    <row r="77" spans="1:2">
      <c r="A77" s="2">
        <v>46113</v>
      </c>
      <c r="B77" s="3">
        <v>2095</v>
      </c>
    </row>
    <row r="78" spans="1:2">
      <c r="A78" s="2">
        <v>46143</v>
      </c>
      <c r="B78" s="3">
        <v>2096</v>
      </c>
    </row>
    <row r="79" spans="1:2">
      <c r="A79" s="2">
        <v>46174</v>
      </c>
      <c r="B79" s="3">
        <v>2097</v>
      </c>
    </row>
    <row r="80" spans="1:2">
      <c r="A80" s="2">
        <v>46204</v>
      </c>
      <c r="B80" s="3">
        <v>2098</v>
      </c>
    </row>
    <row r="81" spans="1:2">
      <c r="A81" s="2">
        <v>46235</v>
      </c>
      <c r="B81" s="3">
        <v>2099</v>
      </c>
    </row>
    <row r="82" spans="1:2">
      <c r="A82" s="2">
        <v>46266</v>
      </c>
      <c r="B82" s="3">
        <v>2100</v>
      </c>
    </row>
    <row r="83" spans="1:2">
      <c r="A83" s="2">
        <v>46296</v>
      </c>
    </row>
    <row r="84" spans="1:2">
      <c r="A84" s="2">
        <v>46327</v>
      </c>
    </row>
    <row r="85" spans="1:2">
      <c r="A85" s="2">
        <v>46357</v>
      </c>
    </row>
    <row r="86" spans="1:2">
      <c r="A86" s="2">
        <v>46388</v>
      </c>
    </row>
    <row r="87" spans="1:2">
      <c r="A87" s="2">
        <v>46419</v>
      </c>
    </row>
    <row r="88" spans="1:2">
      <c r="A88" s="2">
        <v>46447</v>
      </c>
    </row>
    <row r="89" spans="1:2">
      <c r="A89" s="2">
        <v>46478</v>
      </c>
    </row>
    <row r="90" spans="1:2">
      <c r="A90" s="2">
        <v>46508</v>
      </c>
    </row>
    <row r="91" spans="1:2">
      <c r="A91" s="2">
        <v>46539</v>
      </c>
    </row>
    <row r="92" spans="1:2">
      <c r="A92" s="2">
        <v>46569</v>
      </c>
    </row>
    <row r="93" spans="1:2">
      <c r="A93" s="2">
        <v>46600</v>
      </c>
    </row>
    <row r="94" spans="1:2">
      <c r="A94" s="2">
        <v>46631</v>
      </c>
    </row>
    <row r="95" spans="1:2">
      <c r="A95" s="2">
        <v>46661</v>
      </c>
    </row>
    <row r="96" spans="1:2">
      <c r="A96" s="2">
        <v>46692</v>
      </c>
    </row>
    <row r="97" spans="1:1">
      <c r="A97" s="2">
        <v>46722</v>
      </c>
    </row>
    <row r="98" spans="1:1">
      <c r="A98" s="2">
        <v>46753</v>
      </c>
    </row>
    <row r="99" spans="1:1">
      <c r="A99" s="2">
        <v>46784</v>
      </c>
    </row>
    <row r="100" spans="1:1">
      <c r="A100" s="2">
        <v>46813</v>
      </c>
    </row>
    <row r="101" spans="1:1">
      <c r="A101" s="2">
        <v>46844</v>
      </c>
    </row>
    <row r="102" spans="1:1">
      <c r="A102" s="2">
        <v>46874</v>
      </c>
    </row>
    <row r="103" spans="1:1">
      <c r="A103" s="2">
        <v>46905</v>
      </c>
    </row>
    <row r="104" spans="1:1">
      <c r="A104" s="2">
        <v>46935</v>
      </c>
    </row>
    <row r="105" spans="1:1">
      <c r="A105" s="2">
        <v>46966</v>
      </c>
    </row>
    <row r="106" spans="1:1">
      <c r="A106" s="2">
        <v>46997</v>
      </c>
    </row>
    <row r="107" spans="1:1">
      <c r="A107" s="2">
        <v>47027</v>
      </c>
    </row>
    <row r="108" spans="1:1">
      <c r="A108" s="2">
        <v>47058</v>
      </c>
    </row>
    <row r="109" spans="1:1">
      <c r="A109" s="2">
        <v>47088</v>
      </c>
    </row>
    <row r="110" spans="1:1">
      <c r="A110" s="2">
        <v>47119</v>
      </c>
    </row>
    <row r="111" spans="1:1">
      <c r="A111" s="2">
        <v>47150</v>
      </c>
    </row>
    <row r="112" spans="1:1">
      <c r="A112" s="2">
        <v>47178</v>
      </c>
    </row>
    <row r="113" spans="1:1">
      <c r="A113" s="2">
        <v>47209</v>
      </c>
    </row>
    <row r="114" spans="1:1">
      <c r="A114" s="2">
        <v>47239</v>
      </c>
    </row>
    <row r="115" spans="1:1">
      <c r="A115" s="2">
        <v>47270</v>
      </c>
    </row>
    <row r="116" spans="1:1">
      <c r="A116" s="2">
        <v>47300</v>
      </c>
    </row>
    <row r="117" spans="1:1">
      <c r="A117" s="2">
        <v>47331</v>
      </c>
    </row>
    <row r="118" spans="1:1">
      <c r="A118" s="2">
        <v>47362</v>
      </c>
    </row>
    <row r="119" spans="1:1">
      <c r="A119" s="2">
        <v>47392</v>
      </c>
    </row>
    <row r="120" spans="1:1">
      <c r="A120" s="2">
        <v>47423</v>
      </c>
    </row>
    <row r="121" spans="1:1">
      <c r="A121" s="2">
        <v>47453</v>
      </c>
    </row>
    <row r="122" spans="1:1">
      <c r="A122" s="2">
        <v>47484</v>
      </c>
    </row>
    <row r="123" spans="1:1">
      <c r="A123" s="2">
        <v>47515</v>
      </c>
    </row>
    <row r="124" spans="1:1">
      <c r="A124" s="2">
        <v>47543</v>
      </c>
    </row>
    <row r="125" spans="1:1">
      <c r="A125" s="2">
        <v>47574</v>
      </c>
    </row>
    <row r="126" spans="1:1">
      <c r="A126" s="2">
        <v>47604</v>
      </c>
    </row>
    <row r="127" spans="1:1">
      <c r="A127" s="2">
        <v>47635</v>
      </c>
    </row>
    <row r="128" spans="1:1">
      <c r="A128" s="2">
        <v>47665</v>
      </c>
    </row>
    <row r="129" spans="1:1">
      <c r="A129" s="2">
        <v>47696</v>
      </c>
    </row>
    <row r="130" spans="1:1">
      <c r="A130" s="2">
        <v>47727</v>
      </c>
    </row>
    <row r="131" spans="1:1">
      <c r="A131" s="2">
        <v>47757</v>
      </c>
    </row>
    <row r="132" spans="1:1">
      <c r="A132" s="2">
        <v>47788</v>
      </c>
    </row>
    <row r="133" spans="1:1">
      <c r="A133" s="2">
        <v>47818</v>
      </c>
    </row>
    <row r="134" spans="1:1">
      <c r="A134" s="2">
        <v>47849</v>
      </c>
    </row>
    <row r="135" spans="1:1">
      <c r="A135" s="2">
        <v>47880</v>
      </c>
    </row>
    <row r="136" spans="1:1">
      <c r="A136" s="2">
        <v>47908</v>
      </c>
    </row>
    <row r="137" spans="1:1">
      <c r="A137" s="2">
        <v>47939</v>
      </c>
    </row>
    <row r="138" spans="1:1">
      <c r="A138" s="2">
        <v>47969</v>
      </c>
    </row>
    <row r="139" spans="1:1">
      <c r="A139" s="2">
        <v>48000</v>
      </c>
    </row>
    <row r="140" spans="1:1">
      <c r="A140" s="2">
        <v>48030</v>
      </c>
    </row>
    <row r="141" spans="1:1">
      <c r="A141" s="2">
        <v>48061</v>
      </c>
    </row>
    <row r="142" spans="1:1">
      <c r="A142" s="2">
        <v>48092</v>
      </c>
    </row>
    <row r="143" spans="1:1">
      <c r="A143" s="2">
        <v>48122</v>
      </c>
    </row>
    <row r="144" spans="1:1">
      <c r="A144" s="2">
        <v>48153</v>
      </c>
    </row>
    <row r="145" spans="1:1">
      <c r="A145" s="2">
        <v>48183</v>
      </c>
    </row>
    <row r="146" spans="1:1">
      <c r="A146" s="2">
        <v>48214</v>
      </c>
    </row>
    <row r="147" spans="1:1">
      <c r="A147" s="2">
        <v>48245</v>
      </c>
    </row>
    <row r="148" spans="1:1">
      <c r="A148" s="2">
        <v>48274</v>
      </c>
    </row>
    <row r="149" spans="1:1">
      <c r="A149" s="2">
        <v>48305</v>
      </c>
    </row>
    <row r="150" spans="1:1">
      <c r="A150" s="2">
        <v>48335</v>
      </c>
    </row>
    <row r="151" spans="1:1">
      <c r="A151" s="2">
        <v>48366</v>
      </c>
    </row>
    <row r="152" spans="1:1">
      <c r="A152" s="2">
        <v>48396</v>
      </c>
    </row>
    <row r="153" spans="1:1">
      <c r="A153" s="2">
        <v>48427</v>
      </c>
    </row>
    <row r="154" spans="1:1">
      <c r="A154" s="2">
        <v>48458</v>
      </c>
    </row>
    <row r="155" spans="1:1">
      <c r="A155" s="2">
        <v>48488</v>
      </c>
    </row>
    <row r="156" spans="1:1">
      <c r="A156" s="2">
        <v>48519</v>
      </c>
    </row>
    <row r="157" spans="1:1">
      <c r="A157" s="2">
        <v>48549</v>
      </c>
    </row>
    <row r="158" spans="1:1">
      <c r="A158" s="2">
        <v>48580</v>
      </c>
    </row>
    <row r="159" spans="1:1">
      <c r="A159" s="2">
        <v>48611</v>
      </c>
    </row>
    <row r="160" spans="1:1">
      <c r="A160" s="2">
        <v>48639</v>
      </c>
    </row>
    <row r="161" spans="1:1">
      <c r="A161" s="2">
        <v>48670</v>
      </c>
    </row>
    <row r="162" spans="1:1">
      <c r="A162" s="2">
        <v>48700</v>
      </c>
    </row>
    <row r="163" spans="1:1">
      <c r="A163" s="2">
        <v>48731</v>
      </c>
    </row>
    <row r="164" spans="1:1">
      <c r="A164" s="2">
        <v>48761</v>
      </c>
    </row>
    <row r="165" spans="1:1">
      <c r="A165" s="2">
        <v>48792</v>
      </c>
    </row>
    <row r="166" spans="1:1">
      <c r="A166" s="2">
        <v>48823</v>
      </c>
    </row>
    <row r="167" spans="1:1">
      <c r="A167" s="2">
        <v>48853</v>
      </c>
    </row>
    <row r="168" spans="1:1">
      <c r="A168" s="2">
        <v>48884</v>
      </c>
    </row>
    <row r="169" spans="1:1">
      <c r="A169" s="2">
        <v>48914</v>
      </c>
    </row>
    <row r="170" spans="1:1">
      <c r="A170" s="2">
        <v>48945</v>
      </c>
    </row>
    <row r="171" spans="1:1">
      <c r="A171" s="2">
        <v>48976</v>
      </c>
    </row>
    <row r="172" spans="1:1">
      <c r="A172" s="2">
        <v>49004</v>
      </c>
    </row>
    <row r="173" spans="1:1">
      <c r="A173" s="2">
        <v>49035</v>
      </c>
    </row>
    <row r="174" spans="1:1">
      <c r="A174" s="2">
        <v>49065</v>
      </c>
    </row>
    <row r="175" spans="1:1">
      <c r="A175" s="2">
        <v>49096</v>
      </c>
    </row>
    <row r="176" spans="1:1">
      <c r="A176" s="2">
        <v>49126</v>
      </c>
    </row>
    <row r="177" spans="1:1">
      <c r="A177" s="2">
        <v>49157</v>
      </c>
    </row>
    <row r="178" spans="1:1">
      <c r="A178" s="2">
        <v>49188</v>
      </c>
    </row>
    <row r="179" spans="1:1">
      <c r="A179" s="2">
        <v>49218</v>
      </c>
    </row>
    <row r="180" spans="1:1">
      <c r="A180" s="2">
        <v>49249</v>
      </c>
    </row>
    <row r="181" spans="1:1">
      <c r="A181" s="2">
        <v>49279</v>
      </c>
    </row>
    <row r="182" spans="1:1">
      <c r="A182" s="2">
        <v>49310</v>
      </c>
    </row>
    <row r="183" spans="1:1">
      <c r="A183" s="2">
        <v>49341</v>
      </c>
    </row>
    <row r="184" spans="1:1">
      <c r="A184" s="2">
        <v>49369</v>
      </c>
    </row>
    <row r="185" spans="1:1">
      <c r="A185" s="2">
        <v>49400</v>
      </c>
    </row>
    <row r="186" spans="1:1">
      <c r="A186" s="2">
        <v>49430</v>
      </c>
    </row>
    <row r="187" spans="1:1">
      <c r="A187" s="2">
        <v>49461</v>
      </c>
    </row>
    <row r="188" spans="1:1">
      <c r="A188" s="2">
        <v>49491</v>
      </c>
    </row>
    <row r="189" spans="1:1">
      <c r="A189" s="2">
        <v>49522</v>
      </c>
    </row>
    <row r="190" spans="1:1">
      <c r="A190" s="2">
        <v>49553</v>
      </c>
    </row>
    <row r="191" spans="1:1">
      <c r="A191" s="2">
        <v>49583</v>
      </c>
    </row>
    <row r="192" spans="1:1">
      <c r="A192" s="2">
        <v>49614</v>
      </c>
    </row>
    <row r="193" spans="1:1">
      <c r="A193" s="2">
        <v>49644</v>
      </c>
    </row>
    <row r="194" spans="1:1">
      <c r="A194" s="2">
        <v>49675</v>
      </c>
    </row>
    <row r="195" spans="1:1">
      <c r="A195" s="2">
        <v>49706</v>
      </c>
    </row>
    <row r="196" spans="1:1">
      <c r="A196" s="2">
        <v>49735</v>
      </c>
    </row>
    <row r="197" spans="1:1">
      <c r="A197" s="2">
        <v>49766</v>
      </c>
    </row>
    <row r="198" spans="1:1">
      <c r="A198" s="2">
        <v>49796</v>
      </c>
    </row>
    <row r="199" spans="1:1">
      <c r="A199" s="2">
        <v>49827</v>
      </c>
    </row>
    <row r="200" spans="1:1">
      <c r="A200" s="2">
        <v>49857</v>
      </c>
    </row>
    <row r="201" spans="1:1">
      <c r="A201" s="2">
        <v>49888</v>
      </c>
    </row>
    <row r="202" spans="1:1">
      <c r="A202" s="2">
        <v>49919</v>
      </c>
    </row>
    <row r="203" spans="1:1">
      <c r="A203" s="2">
        <v>49949</v>
      </c>
    </row>
    <row r="204" spans="1:1">
      <c r="A204" s="2">
        <v>49980</v>
      </c>
    </row>
    <row r="205" spans="1:1">
      <c r="A205" s="2">
        <v>50010</v>
      </c>
    </row>
    <row r="206" spans="1:1">
      <c r="A206" s="2">
        <v>50041</v>
      </c>
    </row>
    <row r="207" spans="1:1">
      <c r="A207" s="2">
        <v>50072</v>
      </c>
    </row>
    <row r="208" spans="1:1">
      <c r="A208" s="2">
        <v>50100</v>
      </c>
    </row>
    <row r="209" spans="1:1">
      <c r="A209" s="2">
        <v>50131</v>
      </c>
    </row>
    <row r="210" spans="1:1">
      <c r="A210" s="2">
        <v>50161</v>
      </c>
    </row>
    <row r="211" spans="1:1">
      <c r="A211" s="2">
        <v>50192</v>
      </c>
    </row>
    <row r="212" spans="1:1">
      <c r="A212" s="2">
        <v>50222</v>
      </c>
    </row>
    <row r="213" spans="1:1">
      <c r="A213" s="2">
        <v>50253</v>
      </c>
    </row>
    <row r="214" spans="1:1">
      <c r="A214" s="2">
        <v>50284</v>
      </c>
    </row>
    <row r="215" spans="1:1">
      <c r="A215" s="2">
        <v>50314</v>
      </c>
    </row>
    <row r="216" spans="1:1">
      <c r="A216" s="2">
        <v>50345</v>
      </c>
    </row>
    <row r="217" spans="1:1">
      <c r="A217" s="2">
        <v>50375</v>
      </c>
    </row>
    <row r="218" spans="1:1">
      <c r="A218" s="2">
        <v>50406</v>
      </c>
    </row>
    <row r="219" spans="1:1">
      <c r="A219" s="2">
        <v>50437</v>
      </c>
    </row>
    <row r="220" spans="1:1">
      <c r="A220" s="2">
        <v>50465</v>
      </c>
    </row>
    <row r="221" spans="1:1">
      <c r="A221" s="2">
        <v>50496</v>
      </c>
    </row>
    <row r="222" spans="1:1">
      <c r="A222" s="2">
        <v>50526</v>
      </c>
    </row>
    <row r="223" spans="1:1">
      <c r="A223" s="2">
        <v>50557</v>
      </c>
    </row>
    <row r="224" spans="1:1">
      <c r="A224" s="2">
        <v>50587</v>
      </c>
    </row>
    <row r="225" spans="1:1">
      <c r="A225" s="2">
        <v>50618</v>
      </c>
    </row>
    <row r="226" spans="1:1">
      <c r="A226" s="2">
        <v>50649</v>
      </c>
    </row>
    <row r="227" spans="1:1">
      <c r="A227" s="2">
        <v>50679</v>
      </c>
    </row>
    <row r="228" spans="1:1">
      <c r="A228" s="2">
        <v>50710</v>
      </c>
    </row>
    <row r="229" spans="1:1">
      <c r="A229" s="2">
        <v>50740</v>
      </c>
    </row>
    <row r="230" spans="1:1">
      <c r="A230" s="2">
        <v>50771</v>
      </c>
    </row>
    <row r="231" spans="1:1">
      <c r="A231" s="2">
        <v>50802</v>
      </c>
    </row>
    <row r="232" spans="1:1">
      <c r="A232" s="2">
        <v>50830</v>
      </c>
    </row>
    <row r="233" spans="1:1">
      <c r="A233" s="2">
        <v>50861</v>
      </c>
    </row>
    <row r="234" spans="1:1">
      <c r="A234" s="2">
        <v>50891</v>
      </c>
    </row>
    <row r="235" spans="1:1">
      <c r="A235" s="2">
        <v>50922</v>
      </c>
    </row>
    <row r="236" spans="1:1">
      <c r="A236" s="2">
        <v>50952</v>
      </c>
    </row>
    <row r="237" spans="1:1">
      <c r="A237" s="2">
        <v>50983</v>
      </c>
    </row>
    <row r="238" spans="1:1">
      <c r="A238" s="2">
        <v>51014</v>
      </c>
    </row>
    <row r="239" spans="1:1">
      <c r="A239" s="2">
        <v>51044</v>
      </c>
    </row>
    <row r="240" spans="1:1">
      <c r="A240" s="2">
        <v>51075</v>
      </c>
    </row>
    <row r="241" spans="1:1">
      <c r="A241" s="2">
        <v>51105</v>
      </c>
    </row>
    <row r="242" spans="1:1">
      <c r="A242" s="2">
        <v>51136</v>
      </c>
    </row>
    <row r="243" spans="1:1">
      <c r="A243" s="2">
        <v>51167</v>
      </c>
    </row>
    <row r="244" spans="1:1">
      <c r="A244" s="2">
        <v>51196</v>
      </c>
    </row>
    <row r="245" spans="1:1">
      <c r="A245" s="2">
        <v>51227</v>
      </c>
    </row>
    <row r="246" spans="1:1">
      <c r="A246" s="2">
        <v>51257</v>
      </c>
    </row>
    <row r="247" spans="1:1">
      <c r="A247" s="2">
        <v>51288</v>
      </c>
    </row>
    <row r="248" spans="1:1">
      <c r="A248" s="2">
        <v>51318</v>
      </c>
    </row>
    <row r="249" spans="1:1">
      <c r="A249" s="2">
        <v>51349</v>
      </c>
    </row>
    <row r="250" spans="1:1">
      <c r="A250" s="2">
        <v>51380</v>
      </c>
    </row>
    <row r="251" spans="1:1">
      <c r="A251" s="2">
        <v>51410</v>
      </c>
    </row>
    <row r="252" spans="1:1">
      <c r="A252" s="2">
        <v>51441</v>
      </c>
    </row>
    <row r="253" spans="1:1">
      <c r="A253" s="2">
        <v>51471</v>
      </c>
    </row>
    <row r="254" spans="1:1">
      <c r="A254" s="2">
        <v>51502</v>
      </c>
    </row>
    <row r="255" spans="1:1">
      <c r="A255" s="2">
        <v>51533</v>
      </c>
    </row>
    <row r="256" spans="1:1">
      <c r="A256" s="2">
        <v>51561</v>
      </c>
    </row>
    <row r="257" spans="1:1">
      <c r="A257" s="2">
        <v>51592</v>
      </c>
    </row>
    <row r="258" spans="1:1">
      <c r="A258" s="2">
        <v>51622</v>
      </c>
    </row>
    <row r="259" spans="1:1">
      <c r="A259" s="2">
        <v>51653</v>
      </c>
    </row>
    <row r="260" spans="1:1">
      <c r="A260" s="2">
        <v>51683</v>
      </c>
    </row>
    <row r="261" spans="1:1">
      <c r="A261" s="2">
        <v>51714</v>
      </c>
    </row>
    <row r="262" spans="1:1">
      <c r="A262" s="2">
        <v>51745</v>
      </c>
    </row>
    <row r="263" spans="1:1">
      <c r="A263" s="2">
        <v>51775</v>
      </c>
    </row>
    <row r="264" spans="1:1">
      <c r="A264" s="2">
        <v>51806</v>
      </c>
    </row>
    <row r="265" spans="1:1">
      <c r="A265" s="2">
        <v>51836</v>
      </c>
    </row>
    <row r="266" spans="1:1">
      <c r="A266" s="2">
        <v>51867</v>
      </c>
    </row>
    <row r="267" spans="1:1">
      <c r="A267" s="2">
        <v>51898</v>
      </c>
    </row>
    <row r="268" spans="1:1">
      <c r="A268" s="2">
        <v>51926</v>
      </c>
    </row>
    <row r="269" spans="1:1">
      <c r="A269" s="2">
        <v>51957</v>
      </c>
    </row>
    <row r="270" spans="1:1">
      <c r="A270" s="2">
        <v>51987</v>
      </c>
    </row>
    <row r="271" spans="1:1">
      <c r="A271" s="2">
        <v>52018</v>
      </c>
    </row>
    <row r="272" spans="1:1">
      <c r="A272" s="2">
        <v>52048</v>
      </c>
    </row>
    <row r="273" spans="1:1">
      <c r="A273" s="2">
        <v>52079</v>
      </c>
    </row>
    <row r="274" spans="1:1">
      <c r="A274" s="2">
        <v>52110</v>
      </c>
    </row>
    <row r="275" spans="1:1">
      <c r="A275" s="2">
        <v>52140</v>
      </c>
    </row>
    <row r="276" spans="1:1">
      <c r="A276" s="2">
        <v>52171</v>
      </c>
    </row>
    <row r="277" spans="1:1">
      <c r="A277" s="2">
        <v>52201</v>
      </c>
    </row>
    <row r="278" spans="1:1">
      <c r="A278" s="2">
        <v>52232</v>
      </c>
    </row>
    <row r="279" spans="1:1">
      <c r="A279" s="2">
        <v>52263</v>
      </c>
    </row>
    <row r="280" spans="1:1">
      <c r="A280" s="2">
        <v>52291</v>
      </c>
    </row>
    <row r="281" spans="1:1">
      <c r="A281" s="2">
        <v>52322</v>
      </c>
    </row>
    <row r="282" spans="1:1">
      <c r="A282" s="2">
        <v>52352</v>
      </c>
    </row>
    <row r="283" spans="1:1">
      <c r="A283" s="2">
        <v>52383</v>
      </c>
    </row>
    <row r="284" spans="1:1">
      <c r="A284" s="2">
        <v>52413</v>
      </c>
    </row>
    <row r="285" spans="1:1">
      <c r="A285" s="2">
        <v>52444</v>
      </c>
    </row>
    <row r="286" spans="1:1">
      <c r="A286" s="2">
        <v>52475</v>
      </c>
    </row>
    <row r="287" spans="1:1">
      <c r="A287" s="2">
        <v>52505</v>
      </c>
    </row>
    <row r="288" spans="1:1">
      <c r="A288" s="2">
        <v>52536</v>
      </c>
    </row>
    <row r="289" spans="1:1">
      <c r="A289" s="2">
        <v>52566</v>
      </c>
    </row>
    <row r="290" spans="1:1">
      <c r="A290" s="2">
        <v>52597</v>
      </c>
    </row>
    <row r="291" spans="1:1">
      <c r="A291" s="2">
        <v>52628</v>
      </c>
    </row>
    <row r="292" spans="1:1">
      <c r="A292" s="2">
        <v>52657</v>
      </c>
    </row>
    <row r="293" spans="1:1">
      <c r="A293" s="2">
        <v>52688</v>
      </c>
    </row>
    <row r="294" spans="1:1">
      <c r="A294" s="2">
        <v>52718</v>
      </c>
    </row>
    <row r="295" spans="1:1">
      <c r="A295" s="2">
        <v>52749</v>
      </c>
    </row>
    <row r="296" spans="1:1">
      <c r="A296" s="2">
        <v>52779</v>
      </c>
    </row>
    <row r="297" spans="1:1">
      <c r="A297" s="2">
        <v>52810</v>
      </c>
    </row>
    <row r="298" spans="1:1">
      <c r="A298" s="2">
        <v>52841</v>
      </c>
    </row>
    <row r="299" spans="1:1">
      <c r="A299" s="2">
        <v>52871</v>
      </c>
    </row>
    <row r="300" spans="1:1">
      <c r="A300" s="2">
        <v>52902</v>
      </c>
    </row>
    <row r="301" spans="1:1">
      <c r="A301" s="2">
        <v>52932</v>
      </c>
    </row>
    <row r="302" spans="1:1">
      <c r="A302" s="2">
        <v>52963</v>
      </c>
    </row>
    <row r="303" spans="1:1">
      <c r="A303" s="2">
        <v>52994</v>
      </c>
    </row>
    <row r="304" spans="1:1">
      <c r="A304" s="2">
        <v>53022</v>
      </c>
    </row>
    <row r="305" spans="1:1">
      <c r="A305" s="2">
        <v>53053</v>
      </c>
    </row>
    <row r="306" spans="1:1">
      <c r="A306" s="2">
        <v>53083</v>
      </c>
    </row>
    <row r="307" spans="1:1">
      <c r="A307" s="2">
        <v>53114</v>
      </c>
    </row>
    <row r="308" spans="1:1">
      <c r="A308" s="2">
        <v>53144</v>
      </c>
    </row>
    <row r="309" spans="1:1">
      <c r="A309" s="2">
        <v>53175</v>
      </c>
    </row>
    <row r="310" spans="1:1">
      <c r="A310" s="2">
        <v>53206</v>
      </c>
    </row>
    <row r="311" spans="1:1">
      <c r="A311" s="2">
        <v>53236</v>
      </c>
    </row>
    <row r="312" spans="1:1">
      <c r="A312" s="2">
        <v>53267</v>
      </c>
    </row>
    <row r="313" spans="1:1">
      <c r="A313" s="2">
        <v>53297</v>
      </c>
    </row>
    <row r="314" spans="1:1">
      <c r="A314" s="2">
        <v>53328</v>
      </c>
    </row>
    <row r="315" spans="1:1">
      <c r="A315" s="2">
        <v>53359</v>
      </c>
    </row>
    <row r="316" spans="1:1">
      <c r="A316" s="2">
        <v>53387</v>
      </c>
    </row>
    <row r="317" spans="1:1">
      <c r="A317" s="2">
        <v>53418</v>
      </c>
    </row>
    <row r="318" spans="1:1">
      <c r="A318" s="2">
        <v>53448</v>
      </c>
    </row>
    <row r="319" spans="1:1">
      <c r="A319" s="2">
        <v>53479</v>
      </c>
    </row>
    <row r="320" spans="1:1">
      <c r="A320" s="2">
        <v>53509</v>
      </c>
    </row>
    <row r="321" spans="1:1">
      <c r="A321" s="2">
        <v>53540</v>
      </c>
    </row>
    <row r="322" spans="1:1">
      <c r="A322" s="2">
        <v>53571</v>
      </c>
    </row>
    <row r="323" spans="1:1">
      <c r="A323" s="2">
        <v>53601</v>
      </c>
    </row>
    <row r="324" spans="1:1">
      <c r="A324" s="2">
        <v>53632</v>
      </c>
    </row>
    <row r="325" spans="1:1">
      <c r="A325" s="2">
        <v>53662</v>
      </c>
    </row>
    <row r="326" spans="1:1">
      <c r="A326" s="2">
        <v>53693</v>
      </c>
    </row>
    <row r="327" spans="1:1">
      <c r="A327" s="2">
        <v>53724</v>
      </c>
    </row>
    <row r="328" spans="1:1">
      <c r="A328" s="2">
        <v>53752</v>
      </c>
    </row>
    <row r="329" spans="1:1">
      <c r="A329" s="2">
        <v>53783</v>
      </c>
    </row>
    <row r="330" spans="1:1">
      <c r="A330" s="2">
        <v>53813</v>
      </c>
    </row>
    <row r="331" spans="1:1">
      <c r="A331" s="2">
        <v>53844</v>
      </c>
    </row>
    <row r="332" spans="1:1">
      <c r="A332" s="2">
        <v>53874</v>
      </c>
    </row>
    <row r="333" spans="1:1">
      <c r="A333" s="2">
        <v>53905</v>
      </c>
    </row>
    <row r="334" spans="1:1">
      <c r="A334" s="2">
        <v>53936</v>
      </c>
    </row>
    <row r="335" spans="1:1">
      <c r="A335" s="2">
        <v>53966</v>
      </c>
    </row>
    <row r="336" spans="1:1">
      <c r="A336" s="2">
        <v>53997</v>
      </c>
    </row>
    <row r="337" spans="1:1">
      <c r="A337" s="2">
        <v>54027</v>
      </c>
    </row>
    <row r="338" spans="1:1">
      <c r="A338" s="2">
        <v>54058</v>
      </c>
    </row>
    <row r="339" spans="1:1">
      <c r="A339" s="2">
        <v>54089</v>
      </c>
    </row>
    <row r="340" spans="1:1">
      <c r="A340" s="2">
        <v>54118</v>
      </c>
    </row>
    <row r="341" spans="1:1">
      <c r="A341" s="2">
        <v>54149</v>
      </c>
    </row>
    <row r="342" spans="1:1">
      <c r="A342" s="2">
        <v>54179</v>
      </c>
    </row>
    <row r="343" spans="1:1">
      <c r="A343" s="2">
        <v>54210</v>
      </c>
    </row>
    <row r="344" spans="1:1">
      <c r="A344" s="2">
        <v>54240</v>
      </c>
    </row>
    <row r="345" spans="1:1">
      <c r="A345" s="2">
        <v>54271</v>
      </c>
    </row>
    <row r="346" spans="1:1">
      <c r="A346" s="2">
        <v>54302</v>
      </c>
    </row>
    <row r="347" spans="1:1">
      <c r="A347" s="2">
        <v>54332</v>
      </c>
    </row>
    <row r="348" spans="1:1">
      <c r="A348" s="2">
        <v>54363</v>
      </c>
    </row>
    <row r="349" spans="1:1">
      <c r="A349" s="2">
        <v>54393</v>
      </c>
    </row>
    <row r="350" spans="1:1">
      <c r="A350" s="2">
        <v>54424</v>
      </c>
    </row>
    <row r="351" spans="1:1">
      <c r="A351" s="2">
        <v>54455</v>
      </c>
    </row>
    <row r="352" spans="1:1">
      <c r="A352" s="2">
        <v>54483</v>
      </c>
    </row>
    <row r="353" spans="1:1">
      <c r="A353" s="2">
        <v>54514</v>
      </c>
    </row>
    <row r="354" spans="1:1">
      <c r="A354" s="2">
        <v>54544</v>
      </c>
    </row>
    <row r="355" spans="1:1">
      <c r="A355" s="2">
        <v>54575</v>
      </c>
    </row>
    <row r="356" spans="1:1">
      <c r="A356" s="2">
        <v>54605</v>
      </c>
    </row>
    <row r="357" spans="1:1">
      <c r="A357" s="2">
        <v>54636</v>
      </c>
    </row>
    <row r="358" spans="1:1">
      <c r="A358" s="2">
        <v>54667</v>
      </c>
    </row>
    <row r="359" spans="1:1">
      <c r="A359" s="2">
        <v>54697</v>
      </c>
    </row>
    <row r="360" spans="1:1">
      <c r="A360" s="2">
        <v>54728</v>
      </c>
    </row>
    <row r="361" spans="1:1">
      <c r="A361" s="2">
        <v>54758</v>
      </c>
    </row>
    <row r="362" spans="1:1">
      <c r="A362" s="2">
        <v>54789</v>
      </c>
    </row>
    <row r="363" spans="1:1">
      <c r="A363" s="2">
        <v>54820</v>
      </c>
    </row>
    <row r="364" spans="1:1">
      <c r="A364" s="2">
        <v>54848</v>
      </c>
    </row>
    <row r="365" spans="1:1">
      <c r="A365" s="2">
        <v>54879</v>
      </c>
    </row>
    <row r="366" spans="1:1">
      <c r="A366" s="2">
        <v>54909</v>
      </c>
    </row>
    <row r="367" spans="1:1">
      <c r="A367" s="2">
        <v>54940</v>
      </c>
    </row>
    <row r="368" spans="1:1">
      <c r="A368" s="2">
        <v>54970</v>
      </c>
    </row>
    <row r="369" spans="1:1">
      <c r="A369" s="2">
        <v>55001</v>
      </c>
    </row>
    <row r="370" spans="1:1">
      <c r="A370" s="2">
        <v>55032</v>
      </c>
    </row>
    <row r="371" spans="1:1">
      <c r="A371" s="2">
        <v>55062</v>
      </c>
    </row>
    <row r="372" spans="1:1">
      <c r="A372" s="2">
        <v>55093</v>
      </c>
    </row>
    <row r="373" spans="1:1">
      <c r="A373" s="2">
        <v>55123</v>
      </c>
    </row>
    <row r="374" spans="1:1">
      <c r="A374" s="2">
        <v>55154</v>
      </c>
    </row>
    <row r="375" spans="1:1">
      <c r="A375" s="2">
        <v>55185</v>
      </c>
    </row>
    <row r="376" spans="1:1">
      <c r="A376" s="2">
        <v>55213</v>
      </c>
    </row>
    <row r="377" spans="1:1">
      <c r="A377" s="2">
        <v>55244</v>
      </c>
    </row>
    <row r="378" spans="1:1">
      <c r="A378" s="2">
        <v>55274</v>
      </c>
    </row>
    <row r="379" spans="1:1">
      <c r="A379" s="2">
        <v>55305</v>
      </c>
    </row>
    <row r="380" spans="1:1">
      <c r="A380" s="2">
        <v>55335</v>
      </c>
    </row>
    <row r="381" spans="1:1">
      <c r="A381" s="2">
        <v>55366</v>
      </c>
    </row>
    <row r="382" spans="1:1">
      <c r="A382" s="2">
        <v>55397</v>
      </c>
    </row>
    <row r="383" spans="1:1">
      <c r="A383" s="2">
        <v>55427</v>
      </c>
    </row>
    <row r="384" spans="1:1">
      <c r="A384" s="2">
        <v>55458</v>
      </c>
    </row>
    <row r="385" spans="1:1">
      <c r="A385" s="2">
        <v>55488</v>
      </c>
    </row>
    <row r="386" spans="1:1">
      <c r="A386" s="2">
        <v>55519</v>
      </c>
    </row>
    <row r="387" spans="1:1">
      <c r="A387" s="2">
        <v>55550</v>
      </c>
    </row>
    <row r="388" spans="1:1">
      <c r="A388" s="2">
        <v>55579</v>
      </c>
    </row>
    <row r="389" spans="1:1">
      <c r="A389" s="2">
        <v>55610</v>
      </c>
    </row>
    <row r="390" spans="1:1">
      <c r="A390" s="2">
        <v>55640</v>
      </c>
    </row>
    <row r="391" spans="1:1">
      <c r="A391" s="2">
        <v>55671</v>
      </c>
    </row>
    <row r="392" spans="1:1">
      <c r="A392" s="2">
        <v>55701</v>
      </c>
    </row>
    <row r="393" spans="1:1">
      <c r="A393" s="2">
        <v>55732</v>
      </c>
    </row>
    <row r="394" spans="1:1">
      <c r="A394" s="2">
        <v>55763</v>
      </c>
    </row>
    <row r="395" spans="1:1">
      <c r="A395" s="2">
        <v>55793</v>
      </c>
    </row>
    <row r="396" spans="1:1">
      <c r="A396" s="2">
        <v>55824</v>
      </c>
    </row>
    <row r="397" spans="1:1">
      <c r="A397" s="2">
        <v>55854</v>
      </c>
    </row>
    <row r="398" spans="1:1">
      <c r="A398" s="2">
        <v>55885</v>
      </c>
    </row>
    <row r="399" spans="1:1">
      <c r="A399" s="2">
        <v>55916</v>
      </c>
    </row>
    <row r="400" spans="1:1">
      <c r="A400" s="2">
        <v>55944</v>
      </c>
    </row>
    <row r="401" spans="1:1">
      <c r="A401" s="2">
        <v>55975</v>
      </c>
    </row>
    <row r="402" spans="1:1">
      <c r="A402" s="2">
        <v>56005</v>
      </c>
    </row>
    <row r="403" spans="1:1">
      <c r="A403" s="2">
        <v>56036</v>
      </c>
    </row>
    <row r="404" spans="1:1">
      <c r="A404" s="2">
        <v>56066</v>
      </c>
    </row>
    <row r="405" spans="1:1">
      <c r="A405" s="2">
        <v>56097</v>
      </c>
    </row>
    <row r="406" spans="1:1">
      <c r="A406" s="2">
        <v>56128</v>
      </c>
    </row>
    <row r="407" spans="1:1">
      <c r="A407" s="2">
        <v>56158</v>
      </c>
    </row>
    <row r="408" spans="1:1">
      <c r="A408" s="2">
        <v>56189</v>
      </c>
    </row>
    <row r="409" spans="1:1">
      <c r="A409" s="2">
        <v>56219</v>
      </c>
    </row>
    <row r="410" spans="1:1">
      <c r="A410" s="2">
        <v>56250</v>
      </c>
    </row>
    <row r="411" spans="1:1">
      <c r="A411" s="2">
        <v>56281</v>
      </c>
    </row>
    <row r="412" spans="1:1">
      <c r="A412" s="2">
        <v>56309</v>
      </c>
    </row>
    <row r="413" spans="1:1">
      <c r="A413" s="2">
        <v>56340</v>
      </c>
    </row>
    <row r="414" spans="1:1">
      <c r="A414" s="2">
        <v>56370</v>
      </c>
    </row>
    <row r="415" spans="1:1">
      <c r="A415" s="2">
        <v>56401</v>
      </c>
    </row>
    <row r="416" spans="1:1">
      <c r="A416" s="2">
        <v>56431</v>
      </c>
    </row>
    <row r="417" spans="1:1">
      <c r="A417" s="2">
        <v>56462</v>
      </c>
    </row>
    <row r="418" spans="1:1">
      <c r="A418" s="2">
        <v>56493</v>
      </c>
    </row>
    <row r="419" spans="1:1">
      <c r="A419" s="2">
        <v>56523</v>
      </c>
    </row>
    <row r="420" spans="1:1">
      <c r="A420" s="2">
        <v>56554</v>
      </c>
    </row>
    <row r="421" spans="1:1">
      <c r="A421" s="2">
        <v>56584</v>
      </c>
    </row>
    <row r="422" spans="1:1">
      <c r="A422" s="2">
        <v>56615</v>
      </c>
    </row>
    <row r="423" spans="1:1">
      <c r="A423" s="2">
        <v>56646</v>
      </c>
    </row>
    <row r="424" spans="1:1">
      <c r="A424" s="2">
        <v>56674</v>
      </c>
    </row>
    <row r="425" spans="1:1">
      <c r="A425" s="2">
        <v>56705</v>
      </c>
    </row>
    <row r="426" spans="1:1">
      <c r="A426" s="2">
        <v>56735</v>
      </c>
    </row>
    <row r="427" spans="1:1">
      <c r="A427" s="2">
        <v>56766</v>
      </c>
    </row>
    <row r="428" spans="1:1">
      <c r="A428" s="2">
        <v>56796</v>
      </c>
    </row>
    <row r="429" spans="1:1">
      <c r="A429" s="2">
        <v>56827</v>
      </c>
    </row>
    <row r="430" spans="1:1">
      <c r="A430" s="2">
        <v>56858</v>
      </c>
    </row>
    <row r="431" spans="1:1">
      <c r="A431" s="2">
        <v>56888</v>
      </c>
    </row>
    <row r="432" spans="1:1">
      <c r="A432" s="2">
        <v>56919</v>
      </c>
    </row>
    <row r="433" spans="1:1">
      <c r="A433" s="2">
        <v>56949</v>
      </c>
    </row>
    <row r="434" spans="1:1">
      <c r="A434" s="2">
        <v>56980</v>
      </c>
    </row>
    <row r="435" spans="1:1">
      <c r="A435" s="2">
        <v>57011</v>
      </c>
    </row>
    <row r="436" spans="1:1">
      <c r="A436" s="2">
        <v>57040</v>
      </c>
    </row>
    <row r="437" spans="1:1">
      <c r="A437" s="2">
        <v>57071</v>
      </c>
    </row>
    <row r="438" spans="1:1">
      <c r="A438" s="2">
        <v>57101</v>
      </c>
    </row>
    <row r="439" spans="1:1">
      <c r="A439" s="2">
        <v>57132</v>
      </c>
    </row>
    <row r="440" spans="1:1">
      <c r="A440" s="2">
        <v>57162</v>
      </c>
    </row>
    <row r="441" spans="1:1">
      <c r="A441" s="2">
        <v>57193</v>
      </c>
    </row>
    <row r="442" spans="1:1">
      <c r="A442" s="2">
        <v>57224</v>
      </c>
    </row>
    <row r="443" spans="1:1">
      <c r="A443" s="2">
        <v>57254</v>
      </c>
    </row>
    <row r="444" spans="1:1">
      <c r="A444" s="2">
        <v>57285</v>
      </c>
    </row>
    <row r="445" spans="1:1">
      <c r="A445" s="2">
        <v>57315</v>
      </c>
    </row>
    <row r="446" spans="1:1">
      <c r="A446" s="2">
        <v>57346</v>
      </c>
    </row>
    <row r="447" spans="1:1">
      <c r="A447" s="2">
        <v>57377</v>
      </c>
    </row>
    <row r="448" spans="1:1">
      <c r="A448" s="2">
        <v>57405</v>
      </c>
    </row>
    <row r="449" spans="1:1">
      <c r="A449" s="2">
        <v>57436</v>
      </c>
    </row>
    <row r="450" spans="1:1">
      <c r="A450" s="2">
        <v>57466</v>
      </c>
    </row>
    <row r="451" spans="1:1">
      <c r="A451" s="2">
        <v>57497</v>
      </c>
    </row>
    <row r="452" spans="1:1">
      <c r="A452" s="2">
        <v>57527</v>
      </c>
    </row>
    <row r="453" spans="1:1">
      <c r="A453" s="2">
        <v>57558</v>
      </c>
    </row>
    <row r="454" spans="1:1">
      <c r="A454" s="2">
        <v>57589</v>
      </c>
    </row>
    <row r="455" spans="1:1">
      <c r="A455" s="2">
        <v>57619</v>
      </c>
    </row>
    <row r="456" spans="1:1">
      <c r="A456" s="2">
        <v>57650</v>
      </c>
    </row>
    <row r="457" spans="1:1">
      <c r="A457" s="2">
        <v>57680</v>
      </c>
    </row>
    <row r="458" spans="1:1">
      <c r="A458" s="2">
        <v>57711</v>
      </c>
    </row>
    <row r="459" spans="1:1">
      <c r="A459" s="2">
        <v>57742</v>
      </c>
    </row>
    <row r="460" spans="1:1">
      <c r="A460" s="2">
        <v>57770</v>
      </c>
    </row>
    <row r="461" spans="1:1">
      <c r="A461" s="2">
        <v>57801</v>
      </c>
    </row>
    <row r="462" spans="1:1">
      <c r="A462" s="2">
        <v>57831</v>
      </c>
    </row>
    <row r="463" spans="1:1">
      <c r="A463" s="2">
        <v>57862</v>
      </c>
    </row>
    <row r="464" spans="1:1">
      <c r="A464" s="2">
        <v>57892</v>
      </c>
    </row>
    <row r="465" spans="1:1">
      <c r="A465" s="2">
        <v>57923</v>
      </c>
    </row>
    <row r="466" spans="1:1">
      <c r="A466" s="2">
        <v>57954</v>
      </c>
    </row>
    <row r="467" spans="1:1">
      <c r="A467" s="2">
        <v>57984</v>
      </c>
    </row>
    <row r="468" spans="1:1">
      <c r="A468" s="2">
        <v>58015</v>
      </c>
    </row>
    <row r="469" spans="1:1">
      <c r="A469" s="2">
        <v>58045</v>
      </c>
    </row>
    <row r="470" spans="1:1">
      <c r="A470" s="2">
        <v>58076</v>
      </c>
    </row>
    <row r="471" spans="1:1">
      <c r="A471" s="2">
        <v>58107</v>
      </c>
    </row>
    <row r="472" spans="1:1">
      <c r="A472" s="2">
        <v>58135</v>
      </c>
    </row>
    <row r="473" spans="1:1">
      <c r="A473" s="2">
        <v>58166</v>
      </c>
    </row>
    <row r="474" spans="1:1">
      <c r="A474" s="2">
        <v>58196</v>
      </c>
    </row>
    <row r="475" spans="1:1">
      <c r="A475" s="2">
        <v>58227</v>
      </c>
    </row>
    <row r="476" spans="1:1">
      <c r="A476" s="2">
        <v>58257</v>
      </c>
    </row>
    <row r="477" spans="1:1">
      <c r="A477" s="2">
        <v>58288</v>
      </c>
    </row>
    <row r="478" spans="1:1">
      <c r="A478" s="2">
        <v>58319</v>
      </c>
    </row>
    <row r="479" spans="1:1">
      <c r="A479" s="2">
        <v>58349</v>
      </c>
    </row>
    <row r="480" spans="1:1">
      <c r="A480" s="2">
        <v>58380</v>
      </c>
    </row>
    <row r="481" spans="1:1">
      <c r="A481" s="2">
        <v>58410</v>
      </c>
    </row>
    <row r="482" spans="1:1">
      <c r="A482" s="2">
        <v>58441</v>
      </c>
    </row>
    <row r="483" spans="1:1">
      <c r="A483" s="2">
        <v>58472</v>
      </c>
    </row>
    <row r="484" spans="1:1">
      <c r="A484" s="2">
        <v>58501</v>
      </c>
    </row>
    <row r="485" spans="1:1">
      <c r="A485" s="2">
        <v>58532</v>
      </c>
    </row>
    <row r="486" spans="1:1">
      <c r="A486" s="2">
        <v>58562</v>
      </c>
    </row>
    <row r="487" spans="1:1">
      <c r="A487" s="2">
        <v>58593</v>
      </c>
    </row>
    <row r="488" spans="1:1">
      <c r="A488" s="2">
        <v>58623</v>
      </c>
    </row>
    <row r="489" spans="1:1">
      <c r="A489" s="2">
        <v>58654</v>
      </c>
    </row>
    <row r="490" spans="1:1">
      <c r="A490" s="2">
        <v>58685</v>
      </c>
    </row>
    <row r="491" spans="1:1">
      <c r="A491" s="2">
        <v>58715</v>
      </c>
    </row>
    <row r="492" spans="1:1">
      <c r="A492" s="2">
        <v>58746</v>
      </c>
    </row>
    <row r="493" spans="1:1">
      <c r="A493" s="2">
        <v>58776</v>
      </c>
    </row>
    <row r="494" spans="1:1">
      <c r="A494" s="2">
        <v>58807</v>
      </c>
    </row>
    <row r="495" spans="1:1">
      <c r="A495" s="2">
        <v>58838</v>
      </c>
    </row>
    <row r="496" spans="1:1">
      <c r="A496" s="2">
        <v>58866</v>
      </c>
    </row>
    <row r="497" spans="1:1">
      <c r="A497" s="2">
        <v>58897</v>
      </c>
    </row>
    <row r="498" spans="1:1">
      <c r="A498" s="2">
        <v>58927</v>
      </c>
    </row>
    <row r="499" spans="1:1">
      <c r="A499" s="2">
        <v>58958</v>
      </c>
    </row>
    <row r="500" spans="1:1">
      <c r="A500" s="2">
        <v>58988</v>
      </c>
    </row>
    <row r="501" spans="1:1">
      <c r="A501" s="2">
        <v>59019</v>
      </c>
    </row>
    <row r="502" spans="1:1">
      <c r="A502" s="2">
        <v>59050</v>
      </c>
    </row>
    <row r="503" spans="1:1">
      <c r="A503" s="2">
        <v>59080</v>
      </c>
    </row>
    <row r="504" spans="1:1">
      <c r="A504" s="2">
        <v>59111</v>
      </c>
    </row>
    <row r="505" spans="1:1">
      <c r="A505" s="2">
        <v>59141</v>
      </c>
    </row>
    <row r="506" spans="1:1">
      <c r="A506" s="2">
        <v>59172</v>
      </c>
    </row>
    <row r="507" spans="1:1">
      <c r="A507" s="2">
        <v>59203</v>
      </c>
    </row>
    <row r="508" spans="1:1">
      <c r="A508" s="2">
        <v>59231</v>
      </c>
    </row>
    <row r="509" spans="1:1">
      <c r="A509" s="2">
        <v>59262</v>
      </c>
    </row>
    <row r="510" spans="1:1">
      <c r="A510" s="2">
        <v>59292</v>
      </c>
    </row>
    <row r="511" spans="1:1">
      <c r="A511" s="2">
        <v>59323</v>
      </c>
    </row>
    <row r="512" spans="1:1">
      <c r="A512" s="2">
        <v>59353</v>
      </c>
    </row>
    <row r="513" spans="1:1">
      <c r="A513" s="2">
        <v>59384</v>
      </c>
    </row>
    <row r="514" spans="1:1">
      <c r="A514" s="2">
        <v>59415</v>
      </c>
    </row>
    <row r="515" spans="1:1">
      <c r="A515" s="2">
        <v>59445</v>
      </c>
    </row>
    <row r="516" spans="1:1">
      <c r="A516" s="2">
        <v>59476</v>
      </c>
    </row>
    <row r="517" spans="1:1">
      <c r="A517" s="2">
        <v>59506</v>
      </c>
    </row>
    <row r="518" spans="1:1">
      <c r="A518" s="2">
        <v>59537</v>
      </c>
    </row>
    <row r="519" spans="1:1">
      <c r="A519" s="2">
        <v>59568</v>
      </c>
    </row>
    <row r="520" spans="1:1">
      <c r="A520" s="2">
        <v>59596</v>
      </c>
    </row>
    <row r="521" spans="1:1">
      <c r="A521" s="2">
        <v>59627</v>
      </c>
    </row>
    <row r="522" spans="1:1">
      <c r="A522" s="2">
        <v>59657</v>
      </c>
    </row>
    <row r="523" spans="1:1">
      <c r="A523" s="2">
        <v>59688</v>
      </c>
    </row>
    <row r="524" spans="1:1">
      <c r="A524" s="2">
        <v>59718</v>
      </c>
    </row>
    <row r="525" spans="1:1">
      <c r="A525" s="2">
        <v>59749</v>
      </c>
    </row>
    <row r="526" spans="1:1">
      <c r="A526" s="2">
        <v>59780</v>
      </c>
    </row>
    <row r="527" spans="1:1">
      <c r="A527" s="2">
        <v>59810</v>
      </c>
    </row>
    <row r="528" spans="1:1">
      <c r="A528" s="2">
        <v>59841</v>
      </c>
    </row>
    <row r="529" spans="1:1">
      <c r="A529" s="2">
        <v>59871</v>
      </c>
    </row>
    <row r="530" spans="1:1">
      <c r="A530" s="2">
        <v>59902</v>
      </c>
    </row>
    <row r="531" spans="1:1">
      <c r="A531" s="2">
        <v>59933</v>
      </c>
    </row>
    <row r="532" spans="1:1">
      <c r="A532" s="2">
        <v>59962</v>
      </c>
    </row>
    <row r="533" spans="1:1">
      <c r="A533" s="2">
        <v>59993</v>
      </c>
    </row>
    <row r="534" spans="1:1">
      <c r="A534" s="2">
        <v>60023</v>
      </c>
    </row>
    <row r="535" spans="1:1">
      <c r="A535" s="2">
        <v>60054</v>
      </c>
    </row>
    <row r="536" spans="1:1">
      <c r="A536" s="2">
        <v>60084</v>
      </c>
    </row>
    <row r="537" spans="1:1">
      <c r="A537" s="2">
        <v>60115</v>
      </c>
    </row>
    <row r="538" spans="1:1">
      <c r="A538" s="2">
        <v>60146</v>
      </c>
    </row>
    <row r="539" spans="1:1">
      <c r="A539" s="2">
        <v>60176</v>
      </c>
    </row>
    <row r="540" spans="1:1">
      <c r="A540" s="2">
        <v>60207</v>
      </c>
    </row>
    <row r="541" spans="1:1">
      <c r="A541" s="2">
        <v>60237</v>
      </c>
    </row>
    <row r="542" spans="1:1">
      <c r="A542" s="2">
        <v>60268</v>
      </c>
    </row>
    <row r="543" spans="1:1">
      <c r="A543" s="2">
        <v>60299</v>
      </c>
    </row>
    <row r="544" spans="1:1">
      <c r="A544" s="2">
        <v>60327</v>
      </c>
    </row>
    <row r="545" spans="1:1">
      <c r="A545" s="2">
        <v>60358</v>
      </c>
    </row>
    <row r="546" spans="1:1">
      <c r="A546" s="2">
        <v>60388</v>
      </c>
    </row>
    <row r="547" spans="1:1">
      <c r="A547" s="2">
        <v>60419</v>
      </c>
    </row>
    <row r="548" spans="1:1">
      <c r="A548" s="2">
        <v>60449</v>
      </c>
    </row>
    <row r="549" spans="1:1">
      <c r="A549" s="2">
        <v>60480</v>
      </c>
    </row>
    <row r="550" spans="1:1">
      <c r="A550" s="2">
        <v>60511</v>
      </c>
    </row>
    <row r="551" spans="1:1">
      <c r="A551" s="2">
        <v>60541</v>
      </c>
    </row>
    <row r="552" spans="1:1">
      <c r="A552" s="2">
        <v>60572</v>
      </c>
    </row>
    <row r="553" spans="1:1">
      <c r="A553" s="2">
        <v>60602</v>
      </c>
    </row>
    <row r="554" spans="1:1">
      <c r="A554" s="2">
        <v>60633</v>
      </c>
    </row>
    <row r="555" spans="1:1">
      <c r="A555" s="2">
        <v>60664</v>
      </c>
    </row>
    <row r="556" spans="1:1">
      <c r="A556" s="2">
        <v>60692</v>
      </c>
    </row>
    <row r="557" spans="1:1">
      <c r="A557" s="2">
        <v>60723</v>
      </c>
    </row>
    <row r="558" spans="1:1">
      <c r="A558" s="2">
        <v>60753</v>
      </c>
    </row>
    <row r="559" spans="1:1">
      <c r="A559" s="2">
        <v>60784</v>
      </c>
    </row>
    <row r="560" spans="1:1">
      <c r="A560" s="2">
        <v>60814</v>
      </c>
    </row>
    <row r="561" spans="1:1">
      <c r="A561" s="2">
        <v>60845</v>
      </c>
    </row>
    <row r="562" spans="1:1">
      <c r="A562" s="2">
        <v>60876</v>
      </c>
    </row>
    <row r="563" spans="1:1">
      <c r="A563" s="2">
        <v>60906</v>
      </c>
    </row>
    <row r="564" spans="1:1">
      <c r="A564" s="2">
        <v>60937</v>
      </c>
    </row>
    <row r="565" spans="1:1">
      <c r="A565" s="2">
        <v>60967</v>
      </c>
    </row>
    <row r="566" spans="1:1">
      <c r="A566" s="2">
        <v>60998</v>
      </c>
    </row>
    <row r="567" spans="1:1">
      <c r="A567" s="2">
        <v>61029</v>
      </c>
    </row>
    <row r="568" spans="1:1">
      <c r="A568" s="2">
        <v>61057</v>
      </c>
    </row>
    <row r="569" spans="1:1">
      <c r="A569" s="2">
        <v>61088</v>
      </c>
    </row>
    <row r="570" spans="1:1">
      <c r="A570" s="2">
        <v>61118</v>
      </c>
    </row>
    <row r="571" spans="1:1">
      <c r="A571" s="2">
        <v>61149</v>
      </c>
    </row>
    <row r="572" spans="1:1">
      <c r="A572" s="2">
        <v>61179</v>
      </c>
    </row>
    <row r="573" spans="1:1">
      <c r="A573" s="2">
        <v>61210</v>
      </c>
    </row>
    <row r="574" spans="1:1">
      <c r="A574" s="2">
        <v>61241</v>
      </c>
    </row>
    <row r="575" spans="1:1">
      <c r="A575" s="2">
        <v>61271</v>
      </c>
    </row>
    <row r="576" spans="1:1">
      <c r="A576" s="2">
        <v>61302</v>
      </c>
    </row>
    <row r="577" spans="1:1">
      <c r="A577" s="2">
        <v>61332</v>
      </c>
    </row>
    <row r="578" spans="1:1">
      <c r="A578" s="2">
        <v>61363</v>
      </c>
    </row>
    <row r="579" spans="1:1">
      <c r="A579" s="2">
        <v>61394</v>
      </c>
    </row>
    <row r="580" spans="1:1">
      <c r="A580" s="2">
        <v>61423</v>
      </c>
    </row>
    <row r="581" spans="1:1">
      <c r="A581" s="2">
        <v>61454</v>
      </c>
    </row>
    <row r="582" spans="1:1">
      <c r="A582" s="2">
        <v>61484</v>
      </c>
    </row>
    <row r="583" spans="1:1">
      <c r="A583" s="2">
        <v>61515</v>
      </c>
    </row>
    <row r="584" spans="1:1">
      <c r="A584" s="2">
        <v>61545</v>
      </c>
    </row>
    <row r="585" spans="1:1">
      <c r="A585" s="2">
        <v>61576</v>
      </c>
    </row>
    <row r="586" spans="1:1">
      <c r="A586" s="2">
        <v>61607</v>
      </c>
    </row>
    <row r="587" spans="1:1">
      <c r="A587" s="2">
        <v>61637</v>
      </c>
    </row>
    <row r="588" spans="1:1">
      <c r="A588" s="2">
        <v>61668</v>
      </c>
    </row>
    <row r="589" spans="1:1">
      <c r="A589" s="2">
        <v>61698</v>
      </c>
    </row>
    <row r="590" spans="1:1">
      <c r="A590" s="2">
        <v>61729</v>
      </c>
    </row>
    <row r="591" spans="1:1">
      <c r="A591" s="2">
        <v>61760</v>
      </c>
    </row>
    <row r="592" spans="1:1">
      <c r="A592" s="2">
        <v>61788</v>
      </c>
    </row>
    <row r="593" spans="1:1">
      <c r="A593" s="2">
        <v>61819</v>
      </c>
    </row>
    <row r="594" spans="1:1">
      <c r="A594" s="2">
        <v>61849</v>
      </c>
    </row>
    <row r="595" spans="1:1">
      <c r="A595" s="2">
        <v>61880</v>
      </c>
    </row>
    <row r="596" spans="1:1">
      <c r="A596" s="2">
        <v>61910</v>
      </c>
    </row>
    <row r="597" spans="1:1">
      <c r="A597" s="2">
        <v>61941</v>
      </c>
    </row>
    <row r="598" spans="1:1">
      <c r="A598" s="2">
        <v>61972</v>
      </c>
    </row>
    <row r="599" spans="1:1">
      <c r="A599" s="2">
        <v>62002</v>
      </c>
    </row>
    <row r="600" spans="1:1">
      <c r="A600" s="2">
        <v>62033</v>
      </c>
    </row>
    <row r="601" spans="1:1">
      <c r="A601" s="2">
        <v>62063</v>
      </c>
    </row>
    <row r="602" spans="1:1">
      <c r="A602" s="2">
        <v>62094</v>
      </c>
    </row>
    <row r="603" spans="1:1">
      <c r="A603" s="2">
        <v>62125</v>
      </c>
    </row>
    <row r="604" spans="1:1">
      <c r="A604" s="2">
        <v>62153</v>
      </c>
    </row>
    <row r="605" spans="1:1">
      <c r="A605" s="2">
        <v>62184</v>
      </c>
    </row>
    <row r="606" spans="1:1">
      <c r="A606" s="2">
        <v>62214</v>
      </c>
    </row>
    <row r="607" spans="1:1">
      <c r="A607" s="2">
        <v>62245</v>
      </c>
    </row>
    <row r="608" spans="1:1">
      <c r="A608" s="2">
        <v>62275</v>
      </c>
    </row>
    <row r="609" spans="1:1">
      <c r="A609" s="2">
        <v>62306</v>
      </c>
    </row>
    <row r="610" spans="1:1">
      <c r="A610" s="2">
        <v>62337</v>
      </c>
    </row>
    <row r="611" spans="1:1">
      <c r="A611" s="2">
        <v>62367</v>
      </c>
    </row>
    <row r="612" spans="1:1">
      <c r="A612" s="2">
        <v>62398</v>
      </c>
    </row>
    <row r="613" spans="1:1">
      <c r="A613" s="2">
        <v>62428</v>
      </c>
    </row>
    <row r="614" spans="1:1">
      <c r="A614" s="2">
        <v>62459</v>
      </c>
    </row>
    <row r="615" spans="1:1">
      <c r="A615" s="2">
        <v>62490</v>
      </c>
    </row>
    <row r="616" spans="1:1">
      <c r="A616" s="2">
        <v>62518</v>
      </c>
    </row>
    <row r="617" spans="1:1">
      <c r="A617" s="2">
        <v>62549</v>
      </c>
    </row>
    <row r="618" spans="1:1">
      <c r="A618" s="2">
        <v>62579</v>
      </c>
    </row>
    <row r="619" spans="1:1">
      <c r="A619" s="2">
        <v>62610</v>
      </c>
    </row>
    <row r="620" spans="1:1">
      <c r="A620" s="2">
        <v>62640</v>
      </c>
    </row>
    <row r="621" spans="1:1">
      <c r="A621" s="2">
        <v>62671</v>
      </c>
    </row>
    <row r="622" spans="1:1">
      <c r="A622" s="2">
        <v>62702</v>
      </c>
    </row>
    <row r="623" spans="1:1">
      <c r="A623" s="2">
        <v>62732</v>
      </c>
    </row>
    <row r="624" spans="1:1">
      <c r="A624" s="2">
        <v>62763</v>
      </c>
    </row>
    <row r="625" spans="1:1">
      <c r="A625" s="2">
        <v>62793</v>
      </c>
    </row>
    <row r="626" spans="1:1">
      <c r="A626" s="2">
        <v>62824</v>
      </c>
    </row>
    <row r="627" spans="1:1">
      <c r="A627" s="2">
        <v>62855</v>
      </c>
    </row>
    <row r="628" spans="1:1">
      <c r="A628" s="2">
        <v>62884</v>
      </c>
    </row>
    <row r="629" spans="1:1">
      <c r="A629" s="2">
        <v>62915</v>
      </c>
    </row>
    <row r="630" spans="1:1">
      <c r="A630" s="2">
        <v>62945</v>
      </c>
    </row>
    <row r="631" spans="1:1">
      <c r="A631" s="2">
        <v>62976</v>
      </c>
    </row>
    <row r="632" spans="1:1">
      <c r="A632" s="2">
        <v>63006</v>
      </c>
    </row>
    <row r="633" spans="1:1">
      <c r="A633" s="2">
        <v>63037</v>
      </c>
    </row>
    <row r="634" spans="1:1">
      <c r="A634" s="2">
        <v>63068</v>
      </c>
    </row>
    <row r="635" spans="1:1">
      <c r="A635" s="2">
        <v>63098</v>
      </c>
    </row>
    <row r="636" spans="1:1">
      <c r="A636" s="2">
        <v>63129</v>
      </c>
    </row>
    <row r="637" spans="1:1">
      <c r="A637" s="2">
        <v>63159</v>
      </c>
    </row>
    <row r="638" spans="1:1">
      <c r="A638" s="2">
        <v>63190</v>
      </c>
    </row>
    <row r="639" spans="1:1">
      <c r="A639" s="2">
        <v>63221</v>
      </c>
    </row>
    <row r="640" spans="1:1">
      <c r="A640" s="2">
        <v>63249</v>
      </c>
    </row>
    <row r="641" spans="1:1">
      <c r="A641" s="2">
        <v>63280</v>
      </c>
    </row>
    <row r="642" spans="1:1">
      <c r="A642" s="2">
        <v>63310</v>
      </c>
    </row>
    <row r="643" spans="1:1">
      <c r="A643" s="2">
        <v>63341</v>
      </c>
    </row>
    <row r="644" spans="1:1">
      <c r="A644" s="2">
        <v>63371</v>
      </c>
    </row>
    <row r="645" spans="1:1">
      <c r="A645" s="2">
        <v>63402</v>
      </c>
    </row>
    <row r="646" spans="1:1">
      <c r="A646" s="2">
        <v>63433</v>
      </c>
    </row>
    <row r="647" spans="1:1">
      <c r="A647" s="2">
        <v>63463</v>
      </c>
    </row>
    <row r="648" spans="1:1">
      <c r="A648" s="2">
        <v>63494</v>
      </c>
    </row>
    <row r="649" spans="1:1">
      <c r="A649" s="2">
        <v>63524</v>
      </c>
    </row>
    <row r="650" spans="1:1">
      <c r="A650" s="2">
        <v>63555</v>
      </c>
    </row>
    <row r="651" spans="1:1">
      <c r="A651" s="2">
        <v>63586</v>
      </c>
    </row>
    <row r="652" spans="1:1">
      <c r="A652" s="2">
        <v>63614</v>
      </c>
    </row>
    <row r="653" spans="1:1">
      <c r="A653" s="2">
        <v>63645</v>
      </c>
    </row>
    <row r="654" spans="1:1">
      <c r="A654" s="2">
        <v>63675</v>
      </c>
    </row>
    <row r="655" spans="1:1">
      <c r="A655" s="2">
        <v>63706</v>
      </c>
    </row>
    <row r="656" spans="1:1">
      <c r="A656" s="2">
        <v>63736</v>
      </c>
    </row>
    <row r="657" spans="1:1">
      <c r="A657" s="2">
        <v>63767</v>
      </c>
    </row>
    <row r="658" spans="1:1">
      <c r="A658" s="2">
        <v>63798</v>
      </c>
    </row>
    <row r="659" spans="1:1">
      <c r="A659" s="2">
        <v>63828</v>
      </c>
    </row>
    <row r="660" spans="1:1">
      <c r="A660" s="2">
        <v>63859</v>
      </c>
    </row>
    <row r="661" spans="1:1">
      <c r="A661" s="2">
        <v>63889</v>
      </c>
    </row>
    <row r="662" spans="1:1">
      <c r="A662" s="2">
        <v>63920</v>
      </c>
    </row>
    <row r="663" spans="1:1">
      <c r="A663" s="2">
        <v>63951</v>
      </c>
    </row>
    <row r="664" spans="1:1">
      <c r="A664" s="2">
        <v>63979</v>
      </c>
    </row>
    <row r="665" spans="1:1">
      <c r="A665" s="2">
        <v>64010</v>
      </c>
    </row>
    <row r="666" spans="1:1">
      <c r="A666" s="2">
        <v>64040</v>
      </c>
    </row>
    <row r="667" spans="1:1">
      <c r="A667" s="2">
        <v>64071</v>
      </c>
    </row>
    <row r="668" spans="1:1">
      <c r="A668" s="2">
        <v>64101</v>
      </c>
    </row>
    <row r="669" spans="1:1">
      <c r="A669" s="2">
        <v>64132</v>
      </c>
    </row>
    <row r="670" spans="1:1">
      <c r="A670" s="2">
        <v>64163</v>
      </c>
    </row>
    <row r="671" spans="1:1">
      <c r="A671" s="2">
        <v>64193</v>
      </c>
    </row>
    <row r="672" spans="1:1">
      <c r="A672" s="2">
        <v>64224</v>
      </c>
    </row>
    <row r="673" spans="1:1">
      <c r="A673" s="2">
        <v>64254</v>
      </c>
    </row>
    <row r="674" spans="1:1">
      <c r="A674" s="2">
        <v>64285</v>
      </c>
    </row>
    <row r="675" spans="1:1">
      <c r="A675" s="2">
        <v>64316</v>
      </c>
    </row>
    <row r="676" spans="1:1">
      <c r="A676" s="2">
        <v>64345</v>
      </c>
    </row>
    <row r="677" spans="1:1">
      <c r="A677" s="2">
        <v>64376</v>
      </c>
    </row>
    <row r="678" spans="1:1">
      <c r="A678" s="2">
        <v>64406</v>
      </c>
    </row>
    <row r="679" spans="1:1">
      <c r="A679" s="2">
        <v>64437</v>
      </c>
    </row>
    <row r="680" spans="1:1">
      <c r="A680" s="2">
        <v>64467</v>
      </c>
    </row>
    <row r="681" spans="1:1">
      <c r="A681" s="2">
        <v>64498</v>
      </c>
    </row>
    <row r="682" spans="1:1">
      <c r="A682" s="2">
        <v>64529</v>
      </c>
    </row>
    <row r="683" spans="1:1">
      <c r="A683" s="2">
        <v>64559</v>
      </c>
    </row>
    <row r="684" spans="1:1">
      <c r="A684" s="2">
        <v>64590</v>
      </c>
    </row>
    <row r="685" spans="1:1">
      <c r="A685" s="2">
        <v>64620</v>
      </c>
    </row>
    <row r="686" spans="1:1">
      <c r="A686" s="2">
        <v>64651</v>
      </c>
    </row>
    <row r="687" spans="1:1">
      <c r="A687" s="2">
        <v>64682</v>
      </c>
    </row>
    <row r="688" spans="1:1">
      <c r="A688" s="2">
        <v>64710</v>
      </c>
    </row>
    <row r="689" spans="1:1">
      <c r="A689" s="2">
        <v>64741</v>
      </c>
    </row>
    <row r="690" spans="1:1">
      <c r="A690" s="2">
        <v>64771</v>
      </c>
    </row>
    <row r="691" spans="1:1">
      <c r="A691" s="2">
        <v>64802</v>
      </c>
    </row>
    <row r="692" spans="1:1">
      <c r="A692" s="2">
        <v>64832</v>
      </c>
    </row>
    <row r="693" spans="1:1">
      <c r="A693" s="2">
        <v>64863</v>
      </c>
    </row>
    <row r="694" spans="1:1">
      <c r="A694" s="2">
        <v>64894</v>
      </c>
    </row>
    <row r="695" spans="1:1">
      <c r="A695" s="2">
        <v>64924</v>
      </c>
    </row>
    <row r="696" spans="1:1">
      <c r="A696" s="2">
        <v>64955</v>
      </c>
    </row>
    <row r="697" spans="1:1">
      <c r="A697" s="2">
        <v>64985</v>
      </c>
    </row>
    <row r="698" spans="1:1">
      <c r="A698" s="2">
        <v>65016</v>
      </c>
    </row>
    <row r="699" spans="1:1">
      <c r="A699" s="2">
        <v>65047</v>
      </c>
    </row>
    <row r="700" spans="1:1">
      <c r="A700" s="2">
        <v>65075</v>
      </c>
    </row>
    <row r="701" spans="1:1">
      <c r="A701" s="2">
        <v>65106</v>
      </c>
    </row>
    <row r="702" spans="1:1">
      <c r="A702" s="2">
        <v>65136</v>
      </c>
    </row>
    <row r="703" spans="1:1">
      <c r="A703" s="2">
        <v>65167</v>
      </c>
    </row>
    <row r="704" spans="1:1">
      <c r="A704" s="2">
        <v>65197</v>
      </c>
    </row>
    <row r="705" spans="1:1">
      <c r="A705" s="2">
        <v>65228</v>
      </c>
    </row>
    <row r="706" spans="1:1">
      <c r="A706" s="2">
        <v>65259</v>
      </c>
    </row>
    <row r="707" spans="1:1">
      <c r="A707" s="2">
        <v>65289</v>
      </c>
    </row>
    <row r="708" spans="1:1">
      <c r="A708" s="2">
        <v>65320</v>
      </c>
    </row>
    <row r="709" spans="1:1">
      <c r="A709" s="2">
        <v>65350</v>
      </c>
    </row>
    <row r="710" spans="1:1">
      <c r="A710" s="2">
        <v>65381</v>
      </c>
    </row>
    <row r="711" spans="1:1">
      <c r="A711" s="2">
        <v>65412</v>
      </c>
    </row>
    <row r="712" spans="1:1">
      <c r="A712" s="2">
        <v>65440</v>
      </c>
    </row>
    <row r="713" spans="1:1">
      <c r="A713" s="2">
        <v>65471</v>
      </c>
    </row>
    <row r="714" spans="1:1">
      <c r="A714" s="2">
        <v>65501</v>
      </c>
    </row>
    <row r="715" spans="1:1">
      <c r="A715" s="2">
        <v>65532</v>
      </c>
    </row>
    <row r="716" spans="1:1">
      <c r="A716" s="2">
        <v>65562</v>
      </c>
    </row>
    <row r="717" spans="1:1">
      <c r="A717" s="2">
        <v>65593</v>
      </c>
    </row>
    <row r="718" spans="1:1">
      <c r="A718" s="2">
        <v>65624</v>
      </c>
    </row>
    <row r="719" spans="1:1">
      <c r="A719" s="2">
        <v>65654</v>
      </c>
    </row>
    <row r="720" spans="1:1">
      <c r="A720" s="2">
        <v>65685</v>
      </c>
    </row>
    <row r="721" spans="1:1">
      <c r="A721" s="2">
        <v>65715</v>
      </c>
    </row>
    <row r="722" spans="1:1">
      <c r="A722" s="2">
        <v>65746</v>
      </c>
    </row>
    <row r="723" spans="1:1">
      <c r="A723" s="2">
        <v>65777</v>
      </c>
    </row>
    <row r="724" spans="1:1">
      <c r="A724" s="2">
        <v>65806</v>
      </c>
    </row>
    <row r="725" spans="1:1">
      <c r="A725" s="2">
        <v>65837</v>
      </c>
    </row>
    <row r="726" spans="1:1">
      <c r="A726" s="2">
        <v>65867</v>
      </c>
    </row>
    <row r="727" spans="1:1">
      <c r="A727" s="2">
        <v>65898</v>
      </c>
    </row>
    <row r="728" spans="1:1">
      <c r="A728" s="2">
        <v>65928</v>
      </c>
    </row>
    <row r="729" spans="1:1">
      <c r="A729" s="2">
        <v>65959</v>
      </c>
    </row>
    <row r="730" spans="1:1">
      <c r="A730" s="2">
        <v>65990</v>
      </c>
    </row>
    <row r="731" spans="1:1">
      <c r="A731" s="2">
        <v>66020</v>
      </c>
    </row>
    <row r="732" spans="1:1">
      <c r="A732" s="2">
        <v>66051</v>
      </c>
    </row>
    <row r="733" spans="1:1">
      <c r="A733" s="2">
        <v>66081</v>
      </c>
    </row>
    <row r="734" spans="1:1">
      <c r="A734" s="2">
        <v>66112</v>
      </c>
    </row>
    <row r="735" spans="1:1">
      <c r="A735" s="2">
        <v>66143</v>
      </c>
    </row>
    <row r="736" spans="1:1">
      <c r="A736" s="2">
        <v>66171</v>
      </c>
    </row>
    <row r="737" spans="1:1">
      <c r="A737" s="2">
        <v>66202</v>
      </c>
    </row>
    <row r="738" spans="1:1">
      <c r="A738" s="2">
        <v>66232</v>
      </c>
    </row>
    <row r="739" spans="1:1">
      <c r="A739" s="2">
        <v>66263</v>
      </c>
    </row>
    <row r="740" spans="1:1">
      <c r="A740" s="2">
        <v>66293</v>
      </c>
    </row>
    <row r="741" spans="1:1">
      <c r="A741" s="2">
        <v>66324</v>
      </c>
    </row>
    <row r="742" spans="1:1">
      <c r="A742" s="2">
        <v>66355</v>
      </c>
    </row>
    <row r="743" spans="1:1">
      <c r="A743" s="2">
        <v>66385</v>
      </c>
    </row>
    <row r="744" spans="1:1">
      <c r="A744" s="2">
        <v>66416</v>
      </c>
    </row>
    <row r="745" spans="1:1">
      <c r="A745" s="2">
        <v>66446</v>
      </c>
    </row>
    <row r="746" spans="1:1">
      <c r="A746" s="2">
        <v>66477</v>
      </c>
    </row>
    <row r="747" spans="1:1">
      <c r="A747" s="2">
        <v>66508</v>
      </c>
    </row>
    <row r="748" spans="1:1">
      <c r="A748" s="2">
        <v>66536</v>
      </c>
    </row>
    <row r="749" spans="1:1">
      <c r="A749" s="2">
        <v>66567</v>
      </c>
    </row>
    <row r="750" spans="1:1">
      <c r="A750" s="2">
        <v>66597</v>
      </c>
    </row>
    <row r="751" spans="1:1">
      <c r="A751" s="2">
        <v>66628</v>
      </c>
    </row>
    <row r="752" spans="1:1">
      <c r="A752" s="2">
        <v>66658</v>
      </c>
    </row>
    <row r="753" spans="1:1">
      <c r="A753" s="2">
        <v>66689</v>
      </c>
    </row>
    <row r="754" spans="1:1">
      <c r="A754" s="2">
        <v>66720</v>
      </c>
    </row>
    <row r="755" spans="1:1">
      <c r="A755" s="2">
        <v>66750</v>
      </c>
    </row>
    <row r="756" spans="1:1">
      <c r="A756" s="2">
        <v>66781</v>
      </c>
    </row>
    <row r="757" spans="1:1">
      <c r="A757" s="2">
        <v>66811</v>
      </c>
    </row>
    <row r="758" spans="1:1">
      <c r="A758" s="2">
        <v>66842</v>
      </c>
    </row>
    <row r="759" spans="1:1">
      <c r="A759" s="2">
        <v>66873</v>
      </c>
    </row>
    <row r="760" spans="1:1">
      <c r="A760" s="2">
        <v>66901</v>
      </c>
    </row>
    <row r="761" spans="1:1">
      <c r="A761" s="2">
        <v>66932</v>
      </c>
    </row>
    <row r="762" spans="1:1">
      <c r="A762" s="2">
        <v>66962</v>
      </c>
    </row>
    <row r="763" spans="1:1">
      <c r="A763" s="2">
        <v>66993</v>
      </c>
    </row>
    <row r="764" spans="1:1">
      <c r="A764" s="2">
        <v>67023</v>
      </c>
    </row>
    <row r="765" spans="1:1">
      <c r="A765" s="2">
        <v>67054</v>
      </c>
    </row>
    <row r="766" spans="1:1">
      <c r="A766" s="2">
        <v>67085</v>
      </c>
    </row>
    <row r="767" spans="1:1">
      <c r="A767" s="2">
        <v>67115</v>
      </c>
    </row>
    <row r="768" spans="1:1">
      <c r="A768" s="2">
        <v>67146</v>
      </c>
    </row>
    <row r="769" spans="1:1">
      <c r="A769" s="2">
        <v>67176</v>
      </c>
    </row>
    <row r="770" spans="1:1">
      <c r="A770" s="2">
        <v>67207</v>
      </c>
    </row>
    <row r="771" spans="1:1">
      <c r="A771" s="2">
        <v>67238</v>
      </c>
    </row>
    <row r="772" spans="1:1">
      <c r="A772" s="2">
        <v>67267</v>
      </c>
    </row>
    <row r="773" spans="1:1">
      <c r="A773" s="2">
        <v>67298</v>
      </c>
    </row>
    <row r="774" spans="1:1">
      <c r="A774" s="2">
        <v>67328</v>
      </c>
    </row>
    <row r="775" spans="1:1">
      <c r="A775" s="2">
        <v>67359</v>
      </c>
    </row>
    <row r="776" spans="1:1">
      <c r="A776" s="2">
        <v>67389</v>
      </c>
    </row>
    <row r="777" spans="1:1">
      <c r="A777" s="2">
        <v>67420</v>
      </c>
    </row>
    <row r="778" spans="1:1">
      <c r="A778" s="2">
        <v>67451</v>
      </c>
    </row>
    <row r="779" spans="1:1">
      <c r="A779" s="2">
        <v>67481</v>
      </c>
    </row>
    <row r="780" spans="1:1">
      <c r="A780" s="2">
        <v>67512</v>
      </c>
    </row>
    <row r="781" spans="1:1">
      <c r="A781" s="2">
        <v>67542</v>
      </c>
    </row>
    <row r="782" spans="1:1">
      <c r="A782" s="2">
        <v>67573</v>
      </c>
    </row>
    <row r="783" spans="1:1">
      <c r="A783" s="2">
        <v>67604</v>
      </c>
    </row>
    <row r="784" spans="1:1">
      <c r="A784" s="2">
        <v>67632</v>
      </c>
    </row>
    <row r="785" spans="1:1">
      <c r="A785" s="2">
        <v>67663</v>
      </c>
    </row>
    <row r="786" spans="1:1">
      <c r="A786" s="2">
        <v>67693</v>
      </c>
    </row>
    <row r="787" spans="1:1">
      <c r="A787" s="2">
        <v>67724</v>
      </c>
    </row>
    <row r="788" spans="1:1">
      <c r="A788" s="2">
        <v>67754</v>
      </c>
    </row>
    <row r="789" spans="1:1">
      <c r="A789" s="2">
        <v>67785</v>
      </c>
    </row>
    <row r="790" spans="1:1">
      <c r="A790" s="2">
        <v>67816</v>
      </c>
    </row>
    <row r="791" spans="1:1">
      <c r="A791" s="2">
        <v>67846</v>
      </c>
    </row>
    <row r="792" spans="1:1">
      <c r="A792" s="2">
        <v>67877</v>
      </c>
    </row>
    <row r="793" spans="1:1">
      <c r="A793" s="2">
        <v>67907</v>
      </c>
    </row>
    <row r="794" spans="1:1">
      <c r="A794" s="2">
        <v>67938</v>
      </c>
    </row>
    <row r="795" spans="1:1">
      <c r="A795" s="2">
        <v>67969</v>
      </c>
    </row>
    <row r="796" spans="1:1">
      <c r="A796" s="2">
        <v>67997</v>
      </c>
    </row>
    <row r="797" spans="1:1">
      <c r="A797" s="2">
        <v>68028</v>
      </c>
    </row>
    <row r="798" spans="1:1">
      <c r="A798" s="2">
        <v>68058</v>
      </c>
    </row>
    <row r="799" spans="1:1">
      <c r="A799" s="2">
        <v>68089</v>
      </c>
    </row>
    <row r="800" spans="1:1">
      <c r="A800" s="2">
        <v>68119</v>
      </c>
    </row>
    <row r="801" spans="1:1">
      <c r="A801" s="2">
        <v>68150</v>
      </c>
    </row>
    <row r="802" spans="1:1">
      <c r="A802" s="2">
        <v>68181</v>
      </c>
    </row>
    <row r="803" spans="1:1">
      <c r="A803" s="2">
        <v>68211</v>
      </c>
    </row>
    <row r="804" spans="1:1">
      <c r="A804" s="2">
        <v>68242</v>
      </c>
    </row>
    <row r="805" spans="1:1">
      <c r="A805" s="2">
        <v>68272</v>
      </c>
    </row>
    <row r="806" spans="1:1">
      <c r="A806" s="2">
        <v>68303</v>
      </c>
    </row>
    <row r="807" spans="1:1">
      <c r="A807" s="2">
        <v>68334</v>
      </c>
    </row>
    <row r="808" spans="1:1">
      <c r="A808" s="2">
        <v>68362</v>
      </c>
    </row>
    <row r="809" spans="1:1">
      <c r="A809" s="2">
        <v>68393</v>
      </c>
    </row>
    <row r="810" spans="1:1">
      <c r="A810" s="2">
        <v>68423</v>
      </c>
    </row>
    <row r="811" spans="1:1">
      <c r="A811" s="2">
        <v>68454</v>
      </c>
    </row>
    <row r="812" spans="1:1">
      <c r="A812" s="2">
        <v>68484</v>
      </c>
    </row>
    <row r="813" spans="1:1">
      <c r="A813" s="2">
        <v>68515</v>
      </c>
    </row>
    <row r="814" spans="1:1">
      <c r="A814" s="2">
        <v>68546</v>
      </c>
    </row>
    <row r="815" spans="1:1">
      <c r="A815" s="2">
        <v>68576</v>
      </c>
    </row>
    <row r="816" spans="1:1">
      <c r="A816" s="2">
        <v>68607</v>
      </c>
    </row>
    <row r="817" spans="1:1">
      <c r="A817" s="2">
        <v>68637</v>
      </c>
    </row>
    <row r="818" spans="1:1">
      <c r="A818" s="2">
        <v>68668</v>
      </c>
    </row>
    <row r="819" spans="1:1">
      <c r="A819" s="2">
        <v>68699</v>
      </c>
    </row>
    <row r="820" spans="1:1">
      <c r="A820" s="2">
        <v>68728</v>
      </c>
    </row>
    <row r="821" spans="1:1">
      <c r="A821" s="2">
        <v>68759</v>
      </c>
    </row>
    <row r="822" spans="1:1">
      <c r="A822" s="2">
        <v>68789</v>
      </c>
    </row>
    <row r="823" spans="1:1">
      <c r="A823" s="2">
        <v>68820</v>
      </c>
    </row>
    <row r="824" spans="1:1">
      <c r="A824" s="2">
        <v>68850</v>
      </c>
    </row>
    <row r="825" spans="1:1">
      <c r="A825" s="2">
        <v>68881</v>
      </c>
    </row>
    <row r="826" spans="1:1">
      <c r="A826" s="2">
        <v>68912</v>
      </c>
    </row>
    <row r="827" spans="1:1">
      <c r="A827" s="2">
        <v>68942</v>
      </c>
    </row>
    <row r="828" spans="1:1">
      <c r="A828" s="2">
        <v>68973</v>
      </c>
    </row>
    <row r="829" spans="1:1">
      <c r="A829" s="2">
        <v>69003</v>
      </c>
    </row>
    <row r="830" spans="1:1">
      <c r="A830" s="2">
        <v>69034</v>
      </c>
    </row>
    <row r="831" spans="1:1">
      <c r="A831" s="2">
        <v>69065</v>
      </c>
    </row>
    <row r="832" spans="1:1">
      <c r="A832" s="2">
        <v>69093</v>
      </c>
    </row>
    <row r="833" spans="1:1">
      <c r="A833" s="2">
        <v>69124</v>
      </c>
    </row>
    <row r="834" spans="1:1">
      <c r="A834" s="2">
        <v>69154</v>
      </c>
    </row>
    <row r="835" spans="1:1">
      <c r="A835" s="2">
        <v>69185</v>
      </c>
    </row>
    <row r="836" spans="1:1">
      <c r="A836" s="2">
        <v>69215</v>
      </c>
    </row>
    <row r="837" spans="1:1">
      <c r="A837" s="2">
        <v>69246</v>
      </c>
    </row>
    <row r="838" spans="1:1">
      <c r="A838" s="2">
        <v>69277</v>
      </c>
    </row>
    <row r="839" spans="1:1">
      <c r="A839" s="2">
        <v>69307</v>
      </c>
    </row>
    <row r="840" spans="1:1">
      <c r="A840" s="2">
        <v>69338</v>
      </c>
    </row>
    <row r="841" spans="1:1">
      <c r="A841" s="2">
        <v>69368</v>
      </c>
    </row>
    <row r="842" spans="1:1">
      <c r="A842" s="2">
        <v>69399</v>
      </c>
    </row>
    <row r="843" spans="1:1">
      <c r="A843" s="2">
        <v>69430</v>
      </c>
    </row>
    <row r="844" spans="1:1">
      <c r="A844" s="2">
        <v>69458</v>
      </c>
    </row>
    <row r="845" spans="1:1">
      <c r="A845" s="2">
        <v>69489</v>
      </c>
    </row>
    <row r="846" spans="1:1">
      <c r="A846" s="2">
        <v>69519</v>
      </c>
    </row>
    <row r="847" spans="1:1">
      <c r="A847" s="2">
        <v>69550</v>
      </c>
    </row>
    <row r="848" spans="1:1">
      <c r="A848" s="2">
        <v>69580</v>
      </c>
    </row>
    <row r="849" spans="1:1">
      <c r="A849" s="2">
        <v>69611</v>
      </c>
    </row>
    <row r="850" spans="1:1">
      <c r="A850" s="2">
        <v>69642</v>
      </c>
    </row>
    <row r="851" spans="1:1">
      <c r="A851" s="2">
        <v>69672</v>
      </c>
    </row>
    <row r="852" spans="1:1">
      <c r="A852" s="2">
        <v>69703</v>
      </c>
    </row>
    <row r="853" spans="1:1">
      <c r="A853" s="2">
        <v>69733</v>
      </c>
    </row>
    <row r="854" spans="1:1">
      <c r="A854" s="2">
        <v>69764</v>
      </c>
    </row>
    <row r="855" spans="1:1">
      <c r="A855" s="2">
        <v>69795</v>
      </c>
    </row>
    <row r="856" spans="1:1">
      <c r="A856" s="2">
        <v>69823</v>
      </c>
    </row>
    <row r="857" spans="1:1">
      <c r="A857" s="2">
        <v>69854</v>
      </c>
    </row>
    <row r="858" spans="1:1">
      <c r="A858" s="2">
        <v>69884</v>
      </c>
    </row>
    <row r="859" spans="1:1">
      <c r="A859" s="2">
        <v>69915</v>
      </c>
    </row>
    <row r="860" spans="1:1">
      <c r="A860" s="2">
        <v>69945</v>
      </c>
    </row>
    <row r="861" spans="1:1">
      <c r="A861" s="2">
        <v>69976</v>
      </c>
    </row>
    <row r="862" spans="1:1">
      <c r="A862" s="2">
        <v>70007</v>
      </c>
    </row>
    <row r="863" spans="1:1">
      <c r="A863" s="2">
        <v>70037</v>
      </c>
    </row>
    <row r="864" spans="1:1">
      <c r="A864" s="2">
        <v>70068</v>
      </c>
    </row>
    <row r="865" spans="1:1">
      <c r="A865" s="2">
        <v>70098</v>
      </c>
    </row>
    <row r="866" spans="1:1">
      <c r="A866" s="2">
        <v>70129</v>
      </c>
    </row>
    <row r="867" spans="1:1">
      <c r="A867" s="2">
        <v>70160</v>
      </c>
    </row>
    <row r="868" spans="1:1">
      <c r="A868" s="2">
        <v>70189</v>
      </c>
    </row>
    <row r="869" spans="1:1">
      <c r="A869" s="2">
        <v>70220</v>
      </c>
    </row>
    <row r="870" spans="1:1">
      <c r="A870" s="2">
        <v>70250</v>
      </c>
    </row>
    <row r="871" spans="1:1">
      <c r="A871" s="2">
        <v>70281</v>
      </c>
    </row>
    <row r="872" spans="1:1">
      <c r="A872" s="2">
        <v>70311</v>
      </c>
    </row>
    <row r="873" spans="1:1">
      <c r="A873" s="2">
        <v>70342</v>
      </c>
    </row>
    <row r="874" spans="1:1">
      <c r="A874" s="2">
        <v>70373</v>
      </c>
    </row>
    <row r="875" spans="1:1">
      <c r="A875" s="2">
        <v>70403</v>
      </c>
    </row>
    <row r="876" spans="1:1">
      <c r="A876" s="2">
        <v>70434</v>
      </c>
    </row>
    <row r="877" spans="1:1">
      <c r="A877" s="2">
        <v>70464</v>
      </c>
    </row>
    <row r="878" spans="1:1">
      <c r="A878" s="2">
        <v>70495</v>
      </c>
    </row>
    <row r="879" spans="1:1">
      <c r="A879" s="2">
        <v>70526</v>
      </c>
    </row>
    <row r="880" spans="1:1">
      <c r="A880" s="2">
        <v>70554</v>
      </c>
    </row>
    <row r="881" spans="1:1">
      <c r="A881" s="2">
        <v>70585</v>
      </c>
    </row>
    <row r="882" spans="1:1">
      <c r="A882" s="2">
        <v>70615</v>
      </c>
    </row>
    <row r="883" spans="1:1">
      <c r="A883" s="2">
        <v>70646</v>
      </c>
    </row>
    <row r="884" spans="1:1">
      <c r="A884" s="2">
        <v>70676</v>
      </c>
    </row>
    <row r="885" spans="1:1">
      <c r="A885" s="2">
        <v>70707</v>
      </c>
    </row>
    <row r="886" spans="1:1">
      <c r="A886" s="2">
        <v>70738</v>
      </c>
    </row>
    <row r="887" spans="1:1">
      <c r="A887" s="2">
        <v>70768</v>
      </c>
    </row>
    <row r="888" spans="1:1">
      <c r="A888" s="2">
        <v>70799</v>
      </c>
    </row>
    <row r="889" spans="1:1">
      <c r="A889" s="2">
        <v>70829</v>
      </c>
    </row>
    <row r="890" spans="1:1">
      <c r="A890" s="2">
        <v>70860</v>
      </c>
    </row>
    <row r="891" spans="1:1">
      <c r="A891" s="2">
        <v>70891</v>
      </c>
    </row>
    <row r="892" spans="1:1">
      <c r="A892" s="2">
        <v>70919</v>
      </c>
    </row>
    <row r="893" spans="1:1">
      <c r="A893" s="2">
        <v>70950</v>
      </c>
    </row>
    <row r="894" spans="1:1">
      <c r="A894" s="2">
        <v>70980</v>
      </c>
    </row>
    <row r="895" spans="1:1">
      <c r="A895" s="2">
        <v>71011</v>
      </c>
    </row>
    <row r="896" spans="1:1">
      <c r="A896" s="2">
        <v>71041</v>
      </c>
    </row>
    <row r="897" spans="1:1">
      <c r="A897" s="2">
        <v>71072</v>
      </c>
    </row>
    <row r="898" spans="1:1">
      <c r="A898" s="2">
        <v>71103</v>
      </c>
    </row>
    <row r="899" spans="1:1">
      <c r="A899" s="2">
        <v>71133</v>
      </c>
    </row>
    <row r="900" spans="1:1">
      <c r="A900" s="2">
        <v>71164</v>
      </c>
    </row>
    <row r="901" spans="1:1">
      <c r="A901" s="2">
        <v>71194</v>
      </c>
    </row>
    <row r="902" spans="1:1">
      <c r="A902" s="2">
        <v>71225</v>
      </c>
    </row>
    <row r="903" spans="1:1">
      <c r="A903" s="2">
        <v>71256</v>
      </c>
    </row>
    <row r="904" spans="1:1">
      <c r="A904" s="2">
        <v>71284</v>
      </c>
    </row>
    <row r="905" spans="1:1">
      <c r="A905" s="2">
        <v>71315</v>
      </c>
    </row>
    <row r="906" spans="1:1">
      <c r="A906" s="2">
        <v>71345</v>
      </c>
    </row>
    <row r="907" spans="1:1">
      <c r="A907" s="2">
        <v>71376</v>
      </c>
    </row>
    <row r="908" spans="1:1">
      <c r="A908" s="2">
        <v>71406</v>
      </c>
    </row>
    <row r="909" spans="1:1">
      <c r="A909" s="2">
        <v>71437</v>
      </c>
    </row>
    <row r="910" spans="1:1">
      <c r="A910" s="2">
        <v>71468</v>
      </c>
    </row>
    <row r="911" spans="1:1">
      <c r="A911" s="2">
        <v>71498</v>
      </c>
    </row>
    <row r="912" spans="1:1">
      <c r="A912" s="2">
        <v>71529</v>
      </c>
    </row>
    <row r="913" spans="1:1">
      <c r="A913" s="2">
        <v>71559</v>
      </c>
    </row>
    <row r="914" spans="1:1">
      <c r="A914" s="2">
        <v>71590</v>
      </c>
    </row>
    <row r="915" spans="1:1">
      <c r="A915" s="2">
        <v>71621</v>
      </c>
    </row>
    <row r="916" spans="1:1">
      <c r="A916" s="2">
        <v>71650</v>
      </c>
    </row>
    <row r="917" spans="1:1">
      <c r="A917" s="2">
        <v>71681</v>
      </c>
    </row>
    <row r="918" spans="1:1">
      <c r="A918" s="2">
        <v>71711</v>
      </c>
    </row>
    <row r="919" spans="1:1">
      <c r="A919" s="2">
        <v>71742</v>
      </c>
    </row>
    <row r="920" spans="1:1">
      <c r="A920" s="2">
        <v>71772</v>
      </c>
    </row>
    <row r="921" spans="1:1">
      <c r="A921" s="2">
        <v>71803</v>
      </c>
    </row>
    <row r="922" spans="1:1">
      <c r="A922" s="2">
        <v>71834</v>
      </c>
    </row>
    <row r="923" spans="1:1">
      <c r="A923" s="2">
        <v>71864</v>
      </c>
    </row>
    <row r="924" spans="1:1">
      <c r="A924" s="2">
        <v>71895</v>
      </c>
    </row>
    <row r="925" spans="1:1">
      <c r="A925" s="2">
        <v>71925</v>
      </c>
    </row>
    <row r="926" spans="1:1">
      <c r="A926" s="2">
        <v>71956</v>
      </c>
    </row>
    <row r="927" spans="1:1">
      <c r="A927" s="2">
        <v>71987</v>
      </c>
    </row>
    <row r="928" spans="1:1">
      <c r="A928" s="2">
        <v>72015</v>
      </c>
    </row>
    <row r="929" spans="1:1">
      <c r="A929" s="2">
        <v>72046</v>
      </c>
    </row>
    <row r="930" spans="1:1">
      <c r="A930" s="2">
        <v>72076</v>
      </c>
    </row>
    <row r="931" spans="1:1">
      <c r="A931" s="2">
        <v>72107</v>
      </c>
    </row>
    <row r="932" spans="1:1">
      <c r="A932" s="2">
        <v>72137</v>
      </c>
    </row>
    <row r="933" spans="1:1">
      <c r="A933" s="2">
        <v>72168</v>
      </c>
    </row>
    <row r="934" spans="1:1">
      <c r="A934" s="2">
        <v>72199</v>
      </c>
    </row>
    <row r="935" spans="1:1">
      <c r="A935" s="2">
        <v>72229</v>
      </c>
    </row>
    <row r="936" spans="1:1">
      <c r="A936" s="2">
        <v>72260</v>
      </c>
    </row>
    <row r="937" spans="1:1">
      <c r="A937" s="2">
        <v>72290</v>
      </c>
    </row>
    <row r="938" spans="1:1">
      <c r="A938" s="2">
        <v>72321</v>
      </c>
    </row>
    <row r="939" spans="1:1">
      <c r="A939" s="2">
        <v>72352</v>
      </c>
    </row>
    <row r="940" spans="1:1">
      <c r="A940" s="2">
        <v>72380</v>
      </c>
    </row>
    <row r="941" spans="1:1">
      <c r="A941" s="2">
        <v>72411</v>
      </c>
    </row>
    <row r="942" spans="1:1">
      <c r="A942" s="2">
        <v>72441</v>
      </c>
    </row>
    <row r="943" spans="1:1">
      <c r="A943" s="2">
        <v>72472</v>
      </c>
    </row>
    <row r="944" spans="1:1">
      <c r="A944" s="2">
        <v>72502</v>
      </c>
    </row>
    <row r="945" spans="1:1">
      <c r="A945" s="2">
        <v>72533</v>
      </c>
    </row>
    <row r="946" spans="1:1">
      <c r="A946" s="2">
        <v>72564</v>
      </c>
    </row>
    <row r="947" spans="1:1">
      <c r="A947" s="2">
        <v>72594</v>
      </c>
    </row>
    <row r="948" spans="1:1">
      <c r="A948" s="2">
        <v>72625</v>
      </c>
    </row>
    <row r="949" spans="1:1">
      <c r="A949" s="2">
        <v>72655</v>
      </c>
    </row>
    <row r="950" spans="1:1">
      <c r="A950" s="2">
        <v>72686</v>
      </c>
    </row>
    <row r="951" spans="1:1">
      <c r="A951" s="2">
        <v>72717</v>
      </c>
    </row>
    <row r="952" spans="1:1">
      <c r="A952" s="2">
        <v>72745</v>
      </c>
    </row>
    <row r="953" spans="1:1">
      <c r="A953" s="2">
        <v>72776</v>
      </c>
    </row>
    <row r="954" spans="1:1">
      <c r="A954" s="2">
        <v>72806</v>
      </c>
    </row>
    <row r="955" spans="1:1">
      <c r="A955" s="2">
        <v>72837</v>
      </c>
    </row>
    <row r="956" spans="1:1">
      <c r="A956" s="2">
        <v>72867</v>
      </c>
    </row>
    <row r="957" spans="1:1">
      <c r="A957" s="2">
        <v>72898</v>
      </c>
    </row>
    <row r="958" spans="1:1">
      <c r="A958" s="2">
        <v>72929</v>
      </c>
    </row>
    <row r="959" spans="1:1">
      <c r="A959" s="2">
        <v>72959</v>
      </c>
    </row>
    <row r="960" spans="1:1">
      <c r="A960" s="2">
        <v>72990</v>
      </c>
    </row>
    <row r="961" spans="1:1">
      <c r="A961" s="2">
        <v>73020</v>
      </c>
    </row>
    <row r="962" spans="1:1">
      <c r="A962" s="2">
        <v>73051</v>
      </c>
    </row>
    <row r="963" spans="1:1">
      <c r="A963" s="2">
        <v>73082</v>
      </c>
    </row>
    <row r="964" spans="1:1">
      <c r="A964" s="2">
        <v>73110</v>
      </c>
    </row>
    <row r="965" spans="1:1">
      <c r="A965" s="2">
        <v>73141</v>
      </c>
    </row>
    <row r="966" spans="1:1">
      <c r="A966" s="2">
        <v>73171</v>
      </c>
    </row>
    <row r="967" spans="1:1">
      <c r="A967" s="2">
        <v>73202</v>
      </c>
    </row>
    <row r="968" spans="1:1">
      <c r="A968" s="2">
        <v>73232</v>
      </c>
    </row>
    <row r="969" spans="1:1">
      <c r="A969" s="2">
        <v>73263</v>
      </c>
    </row>
    <row r="970" spans="1:1">
      <c r="A970" s="2">
        <v>73294</v>
      </c>
    </row>
    <row r="971" spans="1:1">
      <c r="A971" s="2">
        <v>73324</v>
      </c>
    </row>
    <row r="972" spans="1:1">
      <c r="A972" s="2">
        <v>73355</v>
      </c>
    </row>
    <row r="973" spans="1:1">
      <c r="A973" s="2">
        <v>73385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Dashboard</vt:lpstr>
      <vt:lpstr>Yearly Dashboard</vt:lpstr>
      <vt:lpstr>Daily Sales &amp; Expenses</vt:lpstr>
      <vt:lpstr>Weekly Purchases</vt:lpstr>
      <vt:lpstr>Monthly Summary</vt:lpstr>
      <vt:lpstr>Settings</vt:lpstr>
      <vt:lpstr>Calc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Suhail CK</dc:creator>
  <cp:lastModifiedBy>hi</cp:lastModifiedBy>
  <dcterms:created xsi:type="dcterms:W3CDTF">2026-09-25T11:30:15Z</dcterms:created>
  <dcterms:modified xsi:type="dcterms:W3CDTF">2026-09-25T11:36:15Z</dcterms:modified>
</cp:coreProperties>
</file>